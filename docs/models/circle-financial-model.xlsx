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3d50f7b6f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b16fd3905db4aba"/>
    <x:sheet xmlns:r="http://schemas.openxmlformats.org/officeDocument/2006/relationships" name="Assumptions" sheetId="2" r:id="Recef4ec196554b33"/>
    <x:sheet xmlns:r="http://schemas.openxmlformats.org/officeDocument/2006/relationships" name="Statements" sheetId="3" r:id="R3dffc892e6a04d58"/>
    <x:sheet xmlns:r="http://schemas.openxmlformats.org/officeDocument/2006/relationships" name="Model" sheetId="4" r:id="Re45474f9fab14bbf"/>
    <x:sheet xmlns:r="http://schemas.openxmlformats.org/officeDocument/2006/relationships" name="Capital" sheetId="5" r:id="R9402c6c9c41b4b25"/>
    <x:sheet xmlns:r="http://schemas.openxmlformats.org/officeDocument/2006/relationships" name="Valuation" sheetId="6" r:id="R781095cc30a64266"/>
    <x:sheet xmlns:r="http://schemas.openxmlformats.org/officeDocument/2006/relationships" name="Actuals" sheetId="7" r:id="R40dbbdfb8cc64ee9"/>
    <x:sheet xmlns:r="http://schemas.openxmlformats.org/officeDocument/2006/relationships" name="Sources" sheetId="8" r:id="R4f49f75dbeea430a"/>
    <x:sheet xmlns:r="http://schemas.openxmlformats.org/officeDocument/2006/relationships" name="Checks" sheetId="9" r:id="R8121dbc5ff334387"/>
    <x:sheet xmlns:r="http://schemas.openxmlformats.org/officeDocument/2006/relationships" name="ReadMe" sheetId="10" r:id="R2b60b754a9b94e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;(#,##0.0);&quot;-&quot;"/>
    <x:numFmt numFmtId="201" formatCode="0.0%;(0.0%);&quot;-&quot;"/>
    <x:numFmt numFmtId="202" formatCode="mm/dd/yy"/>
    <x:numFmt numFmtId="203" formatCode="0"/>
    <x:numFmt numFmtId="204" formatCode="$#,##0.0;($#,##0.0);&quot;-&quot;"/>
    <x:numFmt numFmtId="205" formatCode="$0.00;($0.00);&quot;-&quot;"/>
    <x:numFmt numFmtId="206" formatCode="$0.00"/>
    <x:numFmt numFmtId="207" formatCode="[=-1]&quot;Case path&quot;;0.00%"/>
    <x:numFmt numFmtId="208" formatCode="0.00%"/>
    <x:numFmt numFmtId="209" formatCode="0.00;(0.00);0.00"/>
    <x:numFmt numFmtId="210" formatCode="0.00"/>
  </x:numFmts>
  <x:fonts count="30">
    <x:font>
      <x:sz val="11"/>
      <x:name val="Carlito"/>
    </x:font>
    <x:font>
      <x:sz val="10"/>
      <x:color rgb="FF302D26"/>
      <x:name val="Arial"/>
    </x:font>
    <x:font>
      <x:b/>
      <x:sz val="14"/>
      <x:color rgb="FF302D26"/>
      <x:name val="Arial"/>
    </x:font>
    <x:font>
      <x:b/>
      <x:sz val="10"/>
      <x:color rgb="FFFFFFFF"/>
      <x:name val="Arial"/>
    </x:font>
    <x:font>
      <x:sz val="10"/>
      <x:color rgb="FF245BB0"/>
      <x:name val="Arial"/>
    </x:font>
    <x:font>
      <x:sz val="10"/>
      <x:color rgb="FF287651"/>
      <x:name val="Arial"/>
    </x:font>
    <x:font>
      <x:i/>
      <x:sz val="10"/>
      <x:color rgb="FF302D26"/>
      <x:name val="Arial"/>
    </x:font>
    <x:font>
      <x:i/>
      <x:sz val="10"/>
      <x:color rgb="FF287651"/>
      <x:name val="Arial"/>
    </x:font>
    <x:font>
      <x:b/>
      <x:sz val="10"/>
      <x:color rgb="FF302D26"/>
      <x:name val="Arial"/>
    </x:font>
    <x:font>
      <x:sz val="10"/>
      <x:color rgb="FF6B665A"/>
      <x:name val="Arial"/>
    </x:font>
    <x:font>
      <x:sz val="11"/>
      <x:name val="Arial"/>
    </x:font>
    <x:font>
      <x:b/>
      <x:sz val="14"/>
      <x:color rgb="FF3D3652"/>
      <x:name val="Arial"/>
    </x:font>
    <x:font>
      <x:sz val="9"/>
      <x:color rgb="FF9070D4"/>
      <x:name val="Arial"/>
    </x:font>
    <x:font>
      <x:sz val="10"/>
      <x:color rgb="FF3D3652"/>
      <x:name val="Arial"/>
    </x:font>
    <x:font>
      <x:sz val="10"/>
      <x:color rgb="FF137547"/>
      <x:name val="Arial"/>
    </x:font>
    <x:font>
      <x:b/>
      <x:sz val="10"/>
      <x:color rgb="FF137547"/>
      <x:name val="Arial"/>
    </x:font>
    <x:font>
      <x:i/>
      <x:sz val="10"/>
      <x:color rgb="FF3D3652"/>
      <x:name val="Arial"/>
    </x:font>
    <x:font>
      <x:sz val="10"/>
      <x:color rgb="FF137547"/>
      <x:name val="Arial"/>
    </x:font>
    <x:font>
      <x:b/>
      <x:sz val="10"/>
      <x:color rgb="FF3D3652"/>
      <x:name val="Arial"/>
    </x:font>
    <x:font>
      <x:sz val="10"/>
      <x:color rgb="FF6B6580"/>
      <x:name val="Arial"/>
    </x:font>
    <x:font>
      <x:sz val="10"/>
      <x:color rgb="FF0B53BF"/>
      <x:name val="Arial"/>
    </x:font>
    <x:font>
      <x:b/>
      <x:sz val="10"/>
      <x:color rgb="FF0B53BF"/>
      <x:name val="Arial"/>
    </x:font>
    <x:font>
      <x:sz val="10"/>
      <x:color rgb="FF3D3652"/>
      <x:name val="Arial"/>
    </x:font>
    <x:font>
      <x:b/>
      <x:i/>
      <x:sz val="10"/>
      <x:color rgb="FF3D3652"/>
      <x:name val="Arial"/>
    </x:font>
    <x:font>
      <x:i/>
      <x:sz val="10"/>
      <x:color rgb="FF137547"/>
      <x:name val="Arial"/>
    </x:font>
    <x:font>
      <x:b/>
      <x:i/>
      <x:sz val="10"/>
      <x:color rgb="FF137547"/>
      <x:name val="Arial"/>
    </x:font>
    <x:font>
      <x:b/>
      <x:sz val="11"/>
      <x:name val="Arial"/>
    </x:font>
    <x:font>
      <x:sz val="10"/>
      <x:color rgb="FF0B53BF"/>
      <x:name val="Arial"/>
    </x:font>
    <x:font>
      <x:sz val="11"/>
      <x:color rgb="FF3D3652"/>
      <x:name val="Arial"/>
    </x:font>
    <x:font>
      <x:b/>
      <x:sz val="12"/>
      <x:color rgb="FF0052CC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33291F"/>
      </x:patternFill>
    </x:fill>
    <x:fill>
      <x:patternFill patternType="solid">
        <x:fgColor rgb="FFEEECE3"/>
      </x:patternFill>
    </x:fill>
    <x:fill>
      <x:patternFill patternType="solid">
        <x:fgColor rgb="FFFFFFFF"/>
      </x:patternFill>
    </x:fill>
    <x:fill>
      <x:patternFill patternType="solid">
        <x:fgColor rgb="FF0B53BF"/>
      </x:patternFill>
    </x:fill>
    <x:fill>
      <x:patternFill patternType="solid">
        <x:fgColor rgb="FFEAF2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E85C29"/>
      </x:bottom>
      <x:diagonal/>
    </x:border>
    <x:border>
      <x:left/>
      <x:right/>
      <x:top/>
      <x:bottom style="thin">
        <x:color rgb="FF0B53BF"/>
      </x:bottom>
      <x:diagonal/>
    </x:border>
  </x:borders>
  <x:cellStyleXfs count="1">
    <x:xf numFmtId="0" fontId="0" fillId="0" borderId="0"/>
  </x:cellStyleXfs>
  <x:cellXfs count="2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3" fontId="1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0" fontId="5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202" fontId="5" fillId="0" borderId="0" xfId="0" applyNumberFormat="1" applyFont="1" applyFill="1" applyBorder="1" applyAlignment="1">
      <x:alignment horizontal="right" vertical="center"/>
    </x:xf>
    <x:xf numFmtId="204" fontId="5" fillId="0" borderId="0" xfId="0" applyNumberFormat="1" applyFont="1" applyFill="1" applyBorder="1" applyAlignment="1">
      <x:alignment horizontal="right" vertical="center"/>
    </x:xf>
    <x:xf numFmtId="201" fontId="6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1" fontId="7" fillId="0" borderId="0" xfId="0" applyNumberFormat="1" applyFont="1" applyFill="1" applyBorder="1" applyAlignment="1">
      <x:alignment horizontal="right" vertical="center"/>
    </x:xf>
    <x:xf numFmtId="0" fontId="8" fillId="3" borderId="0" xfId="0" applyNumberFormat="1" applyFont="1" applyFill="1" applyBorder="1" applyAlignment="1">
      <x:alignment vertical="center"/>
    </x:xf>
    <x:xf numFmtId="200" fontId="8" fillId="3" borderId="0" xfId="0" applyNumberFormat="1" applyFont="1" applyFill="1" applyBorder="1" applyAlignment="1">
      <x:alignment horizontal="right" vertical="center"/>
    </x:xf>
    <x:xf numFmtId="205" fontId="5" fillId="0" borderId="0" xfId="0" applyNumberFormat="1" applyFont="1" applyFill="1" applyBorder="1" applyAlignment="1">
      <x:alignment horizontal="right" vertical="center"/>
    </x:xf>
    <x:xf numFmtId="205" fontId="1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206" fontId="5" fillId="0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horizontal="right" vertical="center"/>
    </x:xf>
    <x:xf numFmtId="207" fontId="4" fillId="0" borderId="0" xfId="0" applyNumberFormat="1" applyFont="1" applyFill="1" applyBorder="1" applyAlignment="1">
      <x:alignment horizontal="right" vertical="center"/>
    </x:xf>
    <x:xf numFmtId="208" fontId="5" fillId="0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center" vertical="center"/>
    </x:xf>
    <x:xf numFmtId="204" fontId="1" fillId="0" borderId="0" xfId="0" applyNumberFormat="1" applyFont="1" applyFill="1" applyBorder="1" applyAlignment="1">
      <x:alignment horizontal="right"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0" fontId="5" fillId="3" borderId="0" xfId="0" applyNumberFormat="1" applyFont="1" applyFill="1" applyBorder="1" applyAlignment="1">
      <x:alignment horizontal="righ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209" fontId="5" fillId="0" borderId="0" xfId="0" applyNumberFormat="1" applyFont="1" applyFill="1" applyBorder="1" applyAlignment="1">
      <x:alignment horizontal="right" vertical="center"/>
    </x:xf>
    <x:xf numFmtId="209" fontId="1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horizontal="right" vertical="center"/>
    </x:xf>
    <x:xf numFmtId="200" fontId="8" fillId="2" borderId="0" xfId="0" applyNumberFormat="1" applyFont="1" applyFill="1" applyBorder="1" applyAlignment="1">
      <x:alignment horizontal="right" vertical="center"/>
    </x:xf>
    <x:xf numFmtId="0" fontId="9" fillId="0" borderId="0" xfId="0" applyNumberFormat="1" applyFont="1" applyFill="1" applyBorder="1" applyAlignment="1">
      <x:alignment vertical="center" wrapText="1"/>
    </x:xf>
    <x:xf numFmtId="200" fontId="9" fillId="0" borderId="0" xfId="0" applyNumberFormat="1" applyFont="1" applyFill="1" applyBorder="1" applyAlignment="1">
      <x:alignment horizontal="right" vertical="center" wrapText="1"/>
    </x:xf>
    <x:xf numFmtId="0" fontId="10" fillId="0" borderId="0" xfId="0" applyNumberFormat="1" applyFont="1" applyFill="1" applyBorder="1"/>
    <x:xf numFmtId="0" fontId="10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2" fontId="5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206" fontId="1" fillId="4" borderId="0" xfId="0" applyNumberFormat="1" applyFont="1" applyFill="1" applyBorder="1" applyAlignment="1">
      <x:alignment horizontal="right" vertical="center"/>
    </x:xf>
    <x:xf numFmtId="204" fontId="1" fillId="4" borderId="0" xfId="0" applyNumberFormat="1" applyFont="1" applyFill="1" applyBorder="1" applyAlignment="1">
      <x:alignment horizontal="right" vertical="center"/>
    </x:xf>
    <x:xf numFmtId="208" fontId="1" fillId="4" borderId="0" xfId="0" applyNumberFormat="1" applyFont="1" applyFill="1" applyBorder="1" applyAlignment="1">
      <x:alignment horizontal="right" vertical="center"/>
    </x:xf>
    <x:xf numFmtId="0" fontId="9" fillId="4" borderId="0" xfId="0" applyNumberFormat="1" applyFont="1" applyFill="1" applyBorder="1" applyAlignment="1">
      <x:alignment vertical="center" wrapText="1"/>
    </x:xf>
    <x:xf numFmtId="200" fontId="9" fillId="4" borderId="0" xfId="0" applyNumberFormat="1" applyFont="1" applyFill="1" applyBorder="1" applyAlignment="1">
      <x:alignment horizontal="right" vertical="center" wrapText="1"/>
    </x:xf>
    <x:xf numFmtId="0" fontId="9" fillId="4" borderId="0" xfId="0" applyNumberFormat="1" applyFont="1" applyFill="1" applyBorder="1" applyAlignment="1">
      <x:alignment vertical="center"/>
    </x:xf>
    <x:xf numFmtId="200" fontId="9" fillId="4" borderId="0" xfId="0" applyNumberFormat="1" applyFont="1" applyFill="1" applyBorder="1" applyAlignment="1">
      <x:alignment horizontal="right" vertical="center"/>
    </x:xf>
    <x:xf numFmtId="0" fontId="11" fillId="4" borderId="0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2" fillId="4" borderId="0" xfId="0" applyNumberFormat="1" applyFont="1" applyFill="1" applyBorder="1"/>
    <x:xf numFmtId="0" fontId="13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 applyAlignment="1">
      <x:alignment vertical="center"/>
    </x:xf>
    <x:xf numFmtId="202" fontId="14" fillId="4" borderId="0" xfId="0" applyNumberFormat="1" applyFont="1" applyFill="1" applyBorder="1" applyAlignment="1">
      <x:alignment vertical="center"/>
    </x:xf>
    <x:xf numFmtId="202" fontId="17" fillId="4" borderId="0" xfId="0" applyNumberFormat="1" applyFont="1" applyFill="1" applyBorder="1" applyAlignment="1">
      <x:alignment vertical="center"/>
    </x:xf>
    <x:xf numFmtId="206" fontId="13" fillId="4" borderId="0" xfId="0" applyNumberFormat="1" applyFont="1" applyFill="1" applyBorder="1" applyAlignment="1">
      <x:alignment horizontal="right" vertical="center"/>
    </x:xf>
    <x:xf numFmtId="206" fontId="18" fillId="4" borderId="0" xfId="0" applyNumberFormat="1" applyFont="1" applyFill="1" applyBorder="1" applyAlignment="1">
      <x:alignment horizontal="right" vertical="center"/>
    </x:xf>
    <x:xf numFmtId="204" fontId="13" fillId="4" borderId="0" xfId="0" applyNumberFormat="1" applyFont="1" applyFill="1" applyBorder="1" applyAlignment="1">
      <x:alignment horizontal="right" vertical="center"/>
    </x:xf>
    <x:xf numFmtId="204" fontId="18" fillId="4" borderId="0" xfId="0" applyNumberFormat="1" applyFont="1" applyFill="1" applyBorder="1" applyAlignment="1">
      <x:alignment horizontal="right" vertical="center"/>
    </x:xf>
    <x:xf numFmtId="200" fontId="13" fillId="4" borderId="0" xfId="0" applyNumberFormat="1" applyFont="1" applyFill="1" applyBorder="1" applyAlignment="1">
      <x:alignment horizontal="right" vertical="center"/>
    </x:xf>
    <x:xf numFmtId="200" fontId="18" fillId="4" borderId="0" xfId="0" applyNumberFormat="1" applyFont="1" applyFill="1" applyBorder="1" applyAlignment="1">
      <x:alignment horizontal="right" vertical="center"/>
    </x:xf>
    <x:xf numFmtId="208" fontId="13" fillId="4" borderId="0" xfId="0" applyNumberFormat="1" applyFont="1" applyFill="1" applyBorder="1" applyAlignment="1">
      <x:alignment horizontal="right" vertical="center"/>
    </x:xf>
    <x:xf numFmtId="208" fontId="18" fillId="4" borderId="0" xfId="0" applyNumberFormat="1" applyFont="1" applyFill="1" applyBorder="1" applyAlignment="1">
      <x:alignment horizontal="right" vertical="center"/>
    </x:xf>
    <x:xf numFmtId="0" fontId="19" fillId="4" borderId="0" xfId="0" applyNumberFormat="1" applyFont="1" applyFill="1" applyBorder="1" applyAlignment="1">
      <x:alignment vertical="center" wrapText="1"/>
    </x:xf>
    <x:xf numFmtId="203" fontId="4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right" vertical="center"/>
    </x:xf>
    <x:xf numFmtId="201" fontId="4" fillId="4" borderId="0" xfId="0" applyNumberFormat="1" applyFont="1" applyFill="1" applyBorder="1" applyAlignment="1">
      <x:alignment horizontal="right" vertical="center"/>
    </x:xf>
    <x:xf numFmtId="204" fontId="4" fillId="4" borderId="0" xfId="0" applyNumberFormat="1" applyFont="1" applyFill="1" applyBorder="1" applyAlignment="1">
      <x:alignment horizontal="right" vertical="center"/>
    </x:xf>
    <x:xf numFmtId="203" fontId="20" fillId="4" borderId="0" xfId="0" applyNumberFormat="1" applyFont="1" applyFill="1" applyBorder="1" applyAlignment="1">
      <x:alignment vertical="center"/>
    </x:xf>
    <x:xf numFmtId="203" fontId="21" fillId="4" borderId="0" xfId="0" applyNumberFormat="1" applyFont="1" applyFill="1" applyBorder="1" applyAlignment="1">
      <x:alignment vertical="center"/>
    </x:xf>
    <x:xf numFmtId="0" fontId="18" fillId="4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201" fontId="1" fillId="6" borderId="0" xfId="0" applyNumberFormat="1" applyFont="1" applyFill="1" applyBorder="1" applyAlignment="1">
      <x:alignment horizontal="right" vertical="center"/>
    </x:xf>
    <x:xf numFmtId="201" fontId="13" fillId="6" borderId="0" xfId="0" applyNumberFormat="1" applyFont="1" applyFill="1" applyBorder="1" applyAlignment="1">
      <x:alignment horizontal="right" vertical="center"/>
    </x:xf>
    <x:xf numFmtId="201" fontId="18" fillId="6" borderId="0" xfId="0" applyNumberFormat="1" applyFont="1" applyFill="1" applyBorder="1" applyAlignment="1">
      <x:alignment horizontal="right" vertical="center"/>
    </x:xf>
    <x:xf numFmtId="201" fontId="20" fillId="4" borderId="0" xfId="0" applyNumberFormat="1" applyFont="1" applyFill="1" applyBorder="1" applyAlignment="1">
      <x:alignment horizontal="right" vertical="center"/>
    </x:xf>
    <x:xf numFmtId="201" fontId="21" fillId="4" borderId="0" xfId="0" applyNumberFormat="1" applyFont="1" applyFill="1" applyBorder="1" applyAlignment="1">
      <x:alignment horizontal="right" vertical="center"/>
    </x:xf>
    <x:xf numFmtId="204" fontId="1" fillId="6" borderId="0" xfId="0" applyNumberFormat="1" applyFont="1" applyFill="1" applyBorder="1" applyAlignment="1">
      <x:alignment horizontal="right" vertical="center"/>
    </x:xf>
    <x:xf numFmtId="204" fontId="13" fillId="6" borderId="0" xfId="0" applyNumberFormat="1" applyFont="1" applyFill="1" applyBorder="1" applyAlignment="1">
      <x:alignment horizontal="right" vertical="center"/>
    </x:xf>
    <x:xf numFmtId="204" fontId="18" fillId="6" borderId="0" xfId="0" applyNumberFormat="1" applyFont="1" applyFill="1" applyBorder="1" applyAlignment="1">
      <x:alignment horizontal="right" vertical="center"/>
    </x:xf>
    <x:xf numFmtId="204" fontId="20" fillId="4" borderId="0" xfId="0" applyNumberFormat="1" applyFont="1" applyFill="1" applyBorder="1" applyAlignment="1">
      <x:alignment horizontal="right" vertical="center"/>
    </x:xf>
    <x:xf numFmtId="204" fontId="21" fillId="4" borderId="0" xfId="0" applyNumberFormat="1" applyFont="1" applyFill="1" applyBorder="1" applyAlignment="1">
      <x:alignment horizontal="right" vertical="center"/>
    </x:xf>
    <x:xf numFmtId="0" fontId="3" fillId="4" borderId="0" xfId="0" applyNumberFormat="1" applyFont="1" applyFill="1" applyBorder="1" applyAlignment="1">
      <x:alignment vertical="center"/>
    </x:xf>
    <x:xf numFmtId="200" fontId="8" fillId="4" borderId="0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 applyAlignment="1">
      <x:alignment vertical="center"/>
    </x:xf>
    <x:xf numFmtId="200" fontId="8" fillId="5" borderId="0" xfId="0" applyNumberFormat="1" applyFont="1" applyFill="1" applyBorder="1" applyAlignment="1">
      <x:alignment horizontal="right" vertical="center"/>
    </x:xf>
    <x:xf numFmtId="200" fontId="3" fillId="5" borderId="0" xfId="0" applyNumberFormat="1" applyFont="1" applyFill="1" applyBorder="1" applyAlignment="1">
      <x:alignment horizontal="right" vertical="center"/>
    </x:xf>
    <x:xf numFmtId="200" fontId="1" fillId="6" borderId="0" xfId="0" applyNumberFormat="1" applyFont="1" applyFill="1" applyBorder="1" applyAlignment="1">
      <x:alignment horizontal="right" vertical="center"/>
    </x:xf>
    <x:xf numFmtId="200" fontId="13" fillId="6" borderId="0" xfId="0" applyNumberFormat="1" applyFont="1" applyFill="1" applyBorder="1" applyAlignment="1">
      <x:alignment horizontal="right" vertical="center"/>
    </x:xf>
    <x:xf numFmtId="200" fontId="18" fillId="6" borderId="0" xfId="0" applyNumberFormat="1" applyFont="1" applyFill="1" applyBorder="1" applyAlignment="1">
      <x:alignment horizontal="right" vertical="center"/>
    </x:xf>
    <x:xf numFmtId="202" fontId="1" fillId="4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horizontal="right" vertical="center"/>
    </x:xf>
    <x:xf numFmtId="201" fontId="7" fillId="4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0" fontId="8" fillId="4" borderId="0" xfId="0" applyNumberFormat="1" applyFont="1" applyFill="1" applyBorder="1" applyAlignment="1">
      <x:alignment vertical="center"/>
    </x:xf>
    <x:xf numFmtId="205" fontId="5" fillId="4" borderId="0" xfId="0" applyNumberFormat="1" applyFont="1" applyFill="1" applyBorder="1" applyAlignment="1">
      <x:alignment horizontal="right" vertical="center"/>
    </x:xf>
    <x:xf numFmtId="205" fontId="1" fillId="4" borderId="0" xfId="0" applyNumberFormat="1" applyFont="1" applyFill="1" applyBorder="1" applyAlignment="1">
      <x:alignment horizontal="right" vertical="center"/>
    </x:xf>
    <x:xf numFmtId="202" fontId="13" fillId="4" borderId="0" xfId="0" applyNumberFormat="1" applyFont="1" applyFill="1" applyBorder="1" applyAlignment="1">
      <x:alignment vertical="center"/>
    </x:xf>
    <x:xf numFmtId="202" fontId="22" fillId="4" borderId="0" xfId="0" applyNumberFormat="1" applyFont="1" applyFill="1" applyBorder="1" applyAlignment="1">
      <x:alignment vertical="center"/>
    </x:xf>
    <x:xf numFmtId="201" fontId="16" fillId="4" borderId="0" xfId="0" applyNumberFormat="1" applyFont="1" applyFill="1" applyBorder="1" applyAlignment="1">
      <x:alignment horizontal="right" vertical="center"/>
    </x:xf>
    <x:xf numFmtId="201" fontId="23" fillId="4" borderId="0" xfId="0" applyNumberFormat="1" applyFont="1" applyFill="1" applyBorder="1" applyAlignment="1">
      <x:alignment horizontal="right" vertical="center"/>
    </x:xf>
    <x:xf numFmtId="201" fontId="24" fillId="4" borderId="0" xfId="0" applyNumberFormat="1" applyFont="1" applyFill="1" applyBorder="1" applyAlignment="1">
      <x:alignment horizontal="right" vertical="center"/>
    </x:xf>
    <x:xf numFmtId="201" fontId="25" fillId="4" borderId="0" xfId="0" applyNumberFormat="1" applyFont="1" applyFill="1" applyBorder="1" applyAlignment="1">
      <x:alignment horizontal="right" vertical="center"/>
    </x:xf>
    <x:xf numFmtId="200" fontId="14" fillId="4" borderId="0" xfId="0" applyNumberFormat="1" applyFont="1" applyFill="1" applyBorder="1" applyAlignment="1">
      <x:alignment horizontal="right" vertical="center"/>
    </x:xf>
    <x:xf numFmtId="200" fontId="15" fillId="4" borderId="0" xfId="0" applyNumberFormat="1" applyFont="1" applyFill="1" applyBorder="1" applyAlignment="1">
      <x:alignment horizontal="right" vertical="center"/>
    </x:xf>
    <x:xf numFmtId="0" fontId="8" fillId="6" borderId="0" xfId="0" applyNumberFormat="1" applyFont="1" applyFill="1" applyBorder="1" applyAlignment="1">
      <x:alignment vertical="center"/>
    </x:xf>
    <x:xf numFmtId="0" fontId="18" fillId="6" borderId="0" xfId="0" applyNumberFormat="1" applyFont="1" applyFill="1" applyBorder="1" applyAlignment="1">
      <x:alignment vertical="center"/>
    </x:xf>
    <x:xf numFmtId="200" fontId="8" fillId="6" borderId="0" xfId="0" applyNumberFormat="1" applyFont="1" applyFill="1" applyBorder="1" applyAlignment="1">
      <x:alignment horizontal="right" vertical="center"/>
    </x:xf>
    <x:xf numFmtId="205" fontId="14" fillId="4" borderId="0" xfId="0" applyNumberFormat="1" applyFont="1" applyFill="1" applyBorder="1" applyAlignment="1">
      <x:alignment horizontal="right" vertical="center"/>
    </x:xf>
    <x:xf numFmtId="205" fontId="15" fillId="4" borderId="0" xfId="0" applyNumberFormat="1" applyFont="1" applyFill="1" applyBorder="1" applyAlignment="1">
      <x:alignment horizontal="right" vertical="center"/>
    </x:xf>
    <x:xf numFmtId="205" fontId="13" fillId="4" borderId="0" xfId="0" applyNumberFormat="1" applyFont="1" applyFill="1" applyBorder="1" applyAlignment="1">
      <x:alignment horizontal="right" vertical="center"/>
    </x:xf>
    <x:xf numFmtId="205" fontId="18" fillId="4" borderId="0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202" fontId="5" fillId="4" borderId="0" xfId="0" applyNumberFormat="1" applyFont="1" applyFill="1" applyBorder="1" applyAlignment="1">
      <x:alignment horizontal="right" vertical="center"/>
    </x:xf>
    <x:xf numFmtId="204" fontId="5" fillId="4" borderId="0" xfId="0" applyNumberFormat="1" applyFont="1" applyFill="1" applyBorder="1" applyAlignment="1">
      <x:alignment horizontal="right" vertical="center"/>
    </x:xf>
    <x:xf numFmtId="0" fontId="13" fillId="4" borderId="0" xfId="0" applyNumberFormat="1" applyFont="1" applyFill="1" applyBorder="1" applyAlignment="1">
      <x:alignment horizontal="center" vertical="center" wrapText="1"/>
    </x:xf>
    <x:xf numFmtId="200" fontId="13" fillId="4" borderId="0" xfId="0" applyNumberFormat="1" applyFont="1" applyFill="1" applyBorder="1" applyAlignment="1">
      <x:alignment horizontal="center" vertical="center" wrapText="1"/>
    </x:xf>
    <x:xf numFmtId="202" fontId="14" fillId="4" borderId="0" xfId="0" applyNumberFormat="1" applyFont="1" applyFill="1" applyBorder="1" applyAlignment="1">
      <x:alignment horizontal="right" vertical="center"/>
    </x:xf>
    <x:xf numFmtId="202" fontId="17" fillId="4" borderId="0" xfId="0" applyNumberFormat="1" applyFont="1" applyFill="1" applyBorder="1" applyAlignment="1">
      <x:alignment horizontal="right" vertical="center"/>
    </x:xf>
    <x:xf numFmtId="204" fontId="14" fillId="4" borderId="0" xfId="0" applyNumberFormat="1" applyFont="1" applyFill="1" applyBorder="1" applyAlignment="1">
      <x:alignment horizontal="right" vertical="center"/>
    </x:xf>
    <x:xf numFmtId="204" fontId="15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6" fontId="5" fillId="4" borderId="0" xfId="0" applyNumberFormat="1" applyFont="1" applyFill="1" applyBorder="1" applyAlignment="1">
      <x:alignment horizontal="right" vertical="center"/>
    </x:xf>
    <x:xf numFmtId="207" fontId="4" fillId="4" borderId="0" xfId="0" applyNumberFormat="1" applyFont="1" applyFill="1" applyBorder="1" applyAlignment="1">
      <x:alignment horizontal="right" vertical="center"/>
    </x:xf>
    <x:xf numFmtId="208" fontId="5" fillId="4" borderId="0" xfId="0" applyNumberFormat="1" applyFont="1" applyFill="1" applyBorder="1" applyAlignment="1">
      <x:alignment horizontal="right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201" fontId="14" fillId="4" borderId="0" xfId="0" applyNumberFormat="1" applyFont="1" applyFill="1" applyBorder="1" applyAlignment="1">
      <x:alignment vertical="center"/>
    </x:xf>
    <x:xf numFmtId="201" fontId="15" fillId="4" borderId="0" xfId="0" applyNumberFormat="1" applyFont="1" applyFill="1" applyBorder="1" applyAlignment="1">
      <x:alignment vertical="center"/>
    </x:xf>
    <x:xf numFmtId="201" fontId="14" fillId="4" borderId="0" xfId="0" applyNumberFormat="1" applyFont="1" applyFill="1" applyBorder="1" applyAlignment="1">
      <x:alignment horizontal="right" vertical="center"/>
    </x:xf>
    <x:xf numFmtId="201" fontId="15" fillId="4" borderId="0" xfId="0" applyNumberFormat="1" applyFont="1" applyFill="1" applyBorder="1" applyAlignment="1">
      <x:alignment horizontal="right" vertical="center"/>
    </x:xf>
    <x:xf numFmtId="206" fontId="14" fillId="4" borderId="0" xfId="0" applyNumberFormat="1" applyFont="1" applyFill="1" applyBorder="1" applyAlignment="1">
      <x:alignment horizontal="right" vertical="center"/>
    </x:xf>
    <x:xf numFmtId="206" fontId="15" fillId="4" borderId="0" xfId="0" applyNumberFormat="1" applyFont="1" applyFill="1" applyBorder="1" applyAlignment="1">
      <x:alignment horizontal="right" vertical="center"/>
    </x:xf>
    <x:xf numFmtId="207" fontId="20" fillId="4" borderId="0" xfId="0" applyNumberFormat="1" applyFont="1" applyFill="1" applyBorder="1" applyAlignment="1">
      <x:alignment horizontal="right" vertical="center"/>
    </x:xf>
    <x:xf numFmtId="207" fontId="21" fillId="4" borderId="0" xfId="0" applyNumberFormat="1" applyFont="1" applyFill="1" applyBorder="1" applyAlignment="1">
      <x:alignment horizontal="right" vertical="center"/>
    </x:xf>
    <x:xf numFmtId="208" fontId="14" fillId="4" borderId="0" xfId="0" applyNumberFormat="1" applyFont="1" applyFill="1" applyBorder="1" applyAlignment="1">
      <x:alignment horizontal="right" vertical="center"/>
    </x:xf>
    <x:xf numFmtId="208" fontId="15" fillId="4" borderId="0" xfId="0" applyNumberFormat="1" applyFont="1" applyFill="1" applyBorder="1" applyAlignment="1">
      <x:alignment horizontal="right" vertical="center"/>
    </x:xf>
    <x:xf numFmtId="0" fontId="19" fillId="4" borderId="0" xfId="0" applyNumberFormat="1" applyFont="1" applyFill="1" applyBorder="1" applyAlignment="1">
      <x:alignment vertical="center"/>
    </x:xf>
    <x:xf numFmtId="200" fontId="3" fillId="5" borderId="0" xfId="0" applyNumberFormat="1" applyFont="1" applyFill="1" applyBorder="1" applyAlignment="1">
      <x:alignment horizontal="center" vertical="center"/>
    </x:xf>
    <x:xf numFmtId="201" fontId="13" fillId="4" borderId="0" xfId="0" applyNumberFormat="1" applyFont="1" applyFill="1" applyBorder="1" applyAlignment="1">
      <x:alignment horizontal="right" vertical="center"/>
    </x:xf>
    <x:xf numFmtId="201" fontId="18" fillId="4" borderId="0" xfId="0" applyNumberFormat="1" applyFont="1" applyFill="1" applyBorder="1" applyAlignment="1">
      <x:alignment horizontal="right" vertical="center"/>
    </x:xf>
    <x:xf numFmtId="0" fontId="1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  <x:xf numFmtId="0" fontId="26" fillId="4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200" fontId="4" fillId="4" borderId="0" xfId="0" applyNumberFormat="1" applyFont="1" applyFill="1" applyBorder="1" applyAlignment="1">
      <x:alignment horizontal="right" vertical="center"/>
    </x:xf>
    <x:xf numFmtId="200" fontId="1" fillId="4" borderId="0" xfId="0" applyNumberFormat="1" applyFont="1" applyFill="1" applyBorder="1" applyAlignment="1">
      <x:alignment horizontal="left" vertical="center"/>
    </x:xf>
    <x:xf numFmtId="202" fontId="4" fillId="4" borderId="0" xfId="0" applyNumberFormat="1" applyFont="1" applyFill="1" applyBorder="1" applyAlignment="1">
      <x:alignment horizontal="right" vertical="center"/>
    </x:xf>
    <x:xf numFmtId="200" fontId="20" fillId="4" borderId="0" xfId="0" applyNumberFormat="1" applyFont="1" applyFill="1" applyBorder="1" applyAlignment="1">
      <x:alignment horizontal="right" vertical="center"/>
    </x:xf>
    <x:xf numFmtId="200" fontId="21" fillId="4" borderId="0" xfId="0" applyNumberFormat="1" applyFont="1" applyFill="1" applyBorder="1" applyAlignment="1">
      <x:alignment horizontal="right" vertical="center"/>
    </x:xf>
    <x:xf numFmtId="200" fontId="13" fillId="4" borderId="0" xfId="0" applyNumberFormat="1" applyFont="1" applyFill="1" applyBorder="1" applyAlignment="1">
      <x:alignment horizontal="left" vertical="center"/>
    </x:xf>
    <x:xf numFmtId="202" fontId="20" fillId="4" borderId="0" xfId="0" applyNumberFormat="1" applyFont="1" applyFill="1" applyBorder="1" applyAlignment="1">
      <x:alignment horizontal="right" vertical="center"/>
    </x:xf>
    <x:xf numFmtId="202" fontId="27" fillId="4" borderId="0" xfId="0" applyNumberFormat="1" applyFont="1" applyFill="1" applyBorder="1" applyAlignment="1">
      <x:alignment horizontal="right" vertical="center"/>
    </x:xf>
    <x:xf numFmtId="209" fontId="1" fillId="4" borderId="0" xfId="0" applyNumberFormat="1" applyFont="1" applyFill="1" applyBorder="1" applyAlignment="1">
      <x:alignment horizontal="right" vertical="center"/>
    </x:xf>
    <x:xf numFmtId="209" fontId="13" fillId="4" borderId="0" xfId="0" applyNumberFormat="1" applyFont="1" applyFill="1" applyBorder="1" applyAlignment="1">
      <x:alignment horizontal="right" vertical="center"/>
    </x:xf>
    <x:xf numFmtId="209" fontId="18" fillId="4" borderId="0" xfId="0" applyNumberFormat="1" applyFont="1" applyFill="1" applyBorder="1" applyAlignment="1">
      <x:alignment horizontal="right" vertical="center"/>
    </x:xf>
    <x:xf numFmtId="201" fontId="18" fillId="4" borderId="0" xfId="0" applyNumberFormat="1" applyFont="1" applyFill="1" applyBorder="1" applyAlignment="1">
      <x:alignment vertical="center"/>
    </x:xf>
    <x:xf numFmtId="202" fontId="22" fillId="4" borderId="0" xfId="0" applyNumberFormat="1" applyFont="1" applyFill="1" applyBorder="1" applyAlignment="1">
      <x:alignment horizontal="right" vertical="center"/>
    </x:xf>
    <x:xf numFmtId="0" fontId="28" fillId="0" borderId="0" xfId="0" applyNumberFormat="1" applyFont="1" applyFill="1" applyBorder="1"/>
    <x:xf numFmtId="206" fontId="21" fillId="4" borderId="0" xfId="0" applyNumberFormat="1" applyFont="1" applyFill="1" applyBorder="1" applyAlignment="1">
      <x:alignment horizontal="right" vertical="center"/>
    </x:xf>
    <x:xf numFmtId="208" fontId="21" fillId="4" borderId="0" xfId="0" applyNumberFormat="1" applyFont="1" applyFill="1" applyBorder="1" applyAlignment="1">
      <x:alignment horizontal="right" vertical="center"/>
    </x:xf>
    <x:xf numFmtId="210" fontId="21" fillId="4" borderId="0" xfId="0" applyNumberFormat="1" applyFont="1" applyFill="1" applyBorder="1" applyAlignment="1">
      <x:alignment horizontal="right" vertical="center"/>
    </x:xf>
    <x:xf numFmtId="0" fontId="29" fillId="4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33">
    <x:dxf>
      <x:font>
        <x:b/>
        <x:color rgb="FF9C2525"/>
      </x:font>
      <x:fill>
        <x:patternFill>
          <x:bgColor rgb="FFFBE2DF"/>
        </x:patternFill>
      </x:fill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  <x:dxf>
      <x:font>
        <x:b/>
        <x:color rgb="FF137547"/>
      </x:font>
    </x:dxf>
    <x:dxf>
      <x:font>
        <x:b/>
        <x:color rgb="FFB4233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fb386da7664fc9" /><Relationship Type="http://schemas.openxmlformats.org/officeDocument/2006/relationships/theme" Target="/xl/theme/theme1.xml" Id="R658f19f7e7894240" /><Relationship Type="http://schemas.openxmlformats.org/officeDocument/2006/relationships/sharedStrings" Target="/xl/sharedStrings.xml" Id="R43df74fc57324853" /><Relationship Type="http://schemas.openxmlformats.org/officeDocument/2006/relationships/worksheet" Target="/xl/worksheets/sheet1.xml" Id="Rbb16fd3905db4aba" /><Relationship Type="http://schemas.openxmlformats.org/officeDocument/2006/relationships/worksheet" Target="/xl/worksheets/sheet2.xml" Id="Recef4ec196554b33" /><Relationship Type="http://schemas.openxmlformats.org/officeDocument/2006/relationships/worksheet" Target="/xl/worksheets/sheet3.xml" Id="R3dffc892e6a04d58" /><Relationship Type="http://schemas.openxmlformats.org/officeDocument/2006/relationships/worksheet" Target="/xl/worksheets/sheet4.xml" Id="Re45474f9fab14bbf" /><Relationship Type="http://schemas.openxmlformats.org/officeDocument/2006/relationships/worksheet" Target="/xl/worksheets/sheet5.xml" Id="R9402c6c9c41b4b25" /><Relationship Type="http://schemas.openxmlformats.org/officeDocument/2006/relationships/worksheet" Target="/xl/worksheets/sheet6.xml" Id="R781095cc30a64266" /><Relationship Type="http://schemas.openxmlformats.org/officeDocument/2006/relationships/worksheet" Target="/xl/worksheets/sheet7.xml" Id="R40dbbdfb8cc64ee9" /><Relationship Type="http://schemas.openxmlformats.org/officeDocument/2006/relationships/worksheet" Target="/xl/worksheets/sheet8.xml" Id="R4f49f75dbeea430a" /><Relationship Type="http://schemas.openxmlformats.org/officeDocument/2006/relationships/worksheet" Target="/xl/worksheets/sheet9.xml" Id="R8121dbc5ff334387" /><Relationship Type="http://schemas.openxmlformats.org/officeDocument/2006/relationships/worksheet" Target="/xl/worksheets/sheet10.xml" Id="R2b60b754a9b94e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d1a849db22347a6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1381125" cy="352425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1a849db22347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385e5021a9248be" /></Relationships>
</file>

<file path=xl/worksheets/sheet1.xml><?xml version="1.0" encoding="utf-8"?>
<x:worksheet xmlns:x="http://schemas.openxmlformats.org/spreadsheetml/2006/main">
  <x:sheetPr>
    <x:tabColor rgb="FF0B53BF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  <x:c r="J1" s="66"/>
      <x:c r="K1" s="66"/>
    </x:row>
    <x:row r="2" ht="22" customHeight="1">
      <x:c r="C2" s="81" t="str">
        <x:v>Circle Financial Model</x:v>
      </x:c>
      <x:c r="D2" s="81"/>
      <x:c r="E2" s="81"/>
      <x:c r="F2" s="81"/>
      <x:c r="G2" s="81"/>
      <x:c r="H2" s="81"/>
      <x:c r="I2" s="81"/>
      <x:c r="J2" s="81"/>
      <x:c r="K2" s="81"/>
    </x:row>
    <x:row r="3" ht="22" customHeight="1">
      <x:c r="C3" s="209" t="str">
        <x:v>USDC Growth, Interest Rates and Equity Valuation</x:v>
      </x:c>
      <x:c r="D3" s="209"/>
      <x:c r="E3" s="209"/>
      <x:c r="F3" s="209"/>
      <x:c r="G3" s="209"/>
      <x:c r="H3" s="209"/>
      <x:c r="I3" s="209"/>
      <x:c r="J3" s="209"/>
      <x:c r="K3" s="209"/>
    </x:row>
    <x:row r="4" ht="22" customHeight="1">
      <x:c r="C4" s="84" t="str">
        <x:v>Case selected</x:v>
      </x:c>
      <x:c r="D4" s="86" t="str">
        <x:f>Assumptions!$E$4</x:f>
        <x:v>Base</x:v>
      </x:c>
      <x:c r="E4" s="69"/>
      <x:c r="F4" s="69"/>
      <x:c r="G4" s="69"/>
      <x:c r="H4" s="69"/>
      <x:c r="I4" s="69"/>
      <x:c r="J4" s="69"/>
      <x:c r="K4" s="69"/>
    </x:row>
    <x:row r="5" ht="22" customHeight="1">
      <x:c r="C5" s="87" t="str">
        <x:v>USD M; shares M; per-share USD</x:v>
      </x:c>
      <x:c r="D5" s="69"/>
      <x:c r="E5" s="69"/>
      <x:c r="F5" s="69"/>
      <x:c r="G5" s="69"/>
      <x:c r="H5" s="69"/>
      <x:c r="I5" s="69"/>
      <x:c r="J5" s="69"/>
      <x:c r="K5" s="69"/>
    </x:row>
    <x:row r="6" ht="22" customHeight="1">
      <x:c r="C6" s="84" t="str">
        <x:v>Valuation reference</x:v>
      </x:c>
      <x:c r="D6" s="69"/>
      <x:c r="E6" s="89" t="n">
        <x:f>Sources!$D$72</x:f>
        <x:v>46308</x:v>
      </x:c>
      <x:c r="F6" s="69"/>
      <x:c r="G6" s="69"/>
      <x:c r="H6" s="69"/>
      <x:c r="I6" s="69"/>
      <x:c r="J6" s="69"/>
      <x:c r="K6" s="69"/>
    </x:row>
    <x:row r="7" ht="22" customHeight="1">
      <x:c r="C7" s="69"/>
      <x:c r="D7" s="73"/>
      <x:c r="E7" s="73"/>
      <x:c r="F7" s="73"/>
      <x:c r="G7" s="73"/>
      <x:c r="H7" s="73"/>
      <x:c r="I7" s="73"/>
      <x:c r="J7" s="73"/>
      <x:c r="K7" s="73"/>
    </x:row>
    <x:row r="8" ht="22" customHeight="1">
      <x:c r="C8" s="84" t="str">
        <x:v>Reference closing price</x:v>
      </x:c>
      <x:c r="D8" s="73"/>
      <x:c r="E8" s="91" t="n">
        <x:f>Valuation!E8</x:f>
        <x:v>84.27</x:v>
      </x:c>
      <x:c r="F8" s="73"/>
      <x:c r="G8" s="73"/>
      <x:c r="H8" s="73"/>
      <x:c r="I8" s="73"/>
      <x:c r="J8" s="73"/>
      <x:c r="K8" s="73"/>
    </x:row>
    <x:row r="9" ht="22" customHeight="1">
      <x:c r="C9" s="84" t="str">
        <x:v>Price per conditional benchmark claim</x:v>
      </x:c>
      <x:c r="D9" s="73"/>
      <x:c r="E9" s="91" t="n">
        <x:f>Valuation!E16</x:f>
        <x:v>27.64649970514216</x:v>
      </x:c>
      <x:c r="F9" s="73"/>
      <x:c r="G9" s="73"/>
      <x:c r="H9" s="73"/>
      <x:c r="I9" s="73"/>
      <x:c r="J9" s="73"/>
      <x:c r="K9" s="73"/>
    </x:row>
    <x:row r="10" ht="22" customHeight="1">
      <x:c r="C10" s="84" t="str">
        <x:v>Core enterprise value</x:v>
      </x:c>
      <x:c r="D10" s="73"/>
      <x:c r="E10" s="93" t="n">
        <x:f>Valuation!E12</x:f>
        <x:v>5244.906941444107</x:v>
      </x:c>
      <x:c r="F10" s="73"/>
      <x:c r="G10" s="73"/>
      <x:c r="H10" s="73"/>
      <x:c r="I10" s="73"/>
      <x:c r="J10" s="73"/>
      <x:c r="K10" s="73"/>
    </x:row>
    <x:row r="11" ht="22" customHeight="1">
      <x:c r="C11" s="84" t="str">
        <x:v>Conditional total equity value</x:v>
      </x:c>
      <x:c r="D11" s="73"/>
      <x:c r="E11" s="93" t="n">
        <x:f>Valuation!E14</x:f>
        <x:v>7851.8050573309465</x:v>
      </x:c>
      <x:c r="F11" s="73"/>
      <x:c r="G11" s="73"/>
      <x:c r="H11" s="73"/>
      <x:c r="I11" s="73"/>
      <x:c r="J11" s="73"/>
      <x:c r="K11" s="73"/>
    </x:row>
    <x:row r="12" ht="22" customHeight="1">
      <x:c r="C12" s="84" t="str">
        <x:v>Conditional diluted benchmark claims</x:v>
      </x:c>
      <x:c r="D12" s="73"/>
      <x:c r="E12" s="95" t="n">
        <x:f>Valuation!E15</x:f>
        <x:v>284.0072031205649</x:v>
      </x:c>
      <x:c r="F12" s="73"/>
      <x:c r="G12" s="73"/>
      <x:c r="H12" s="73"/>
      <x:c r="I12" s="73"/>
      <x:c r="J12" s="73"/>
      <x:c r="K12" s="73"/>
    </x:row>
    <x:row r="13" ht="22" customHeight="1">
      <x:c r="C13" s="69"/>
      <x:c r="D13" s="73"/>
      <x:c r="E13" s="73"/>
      <x:c r="F13" s="73"/>
      <x:c r="G13" s="73"/>
      <x:c r="H13" s="73"/>
      <x:c r="I13" s="73"/>
      <x:c r="J13" s="73"/>
      <x:c r="K13" s="73"/>
    </x:row>
    <x:row r="14" ht="22" customHeight="1">
      <x:c r="C14" s="84" t="str">
        <x:v>2031 economic free cash flow</x:v>
      </x:c>
      <x:c r="D14" s="73"/>
      <x:c r="E14" s="95" t="n">
        <x:f>Model!O135</x:f>
        <x:v>619.0394606902908</x:v>
      </x:c>
      <x:c r="F14" s="73"/>
      <x:c r="G14" s="73"/>
      <x:c r="H14" s="73"/>
      <x:c r="I14" s="73"/>
      <x:c r="J14" s="73"/>
      <x:c r="K14" s="73"/>
    </x:row>
    <x:row r="15" ht="22" customHeight="1">
      <x:c r="C15" s="84" t="str">
        <x:v>2031 USDC circulation</x:v>
      </x:c>
      <x:c r="D15" s="73"/>
      <x:c r="E15" s="95" t="n">
        <x:f>Model!O16</x:f>
        <x:v>176252.61016122805</x:v>
      </x:c>
      <x:c r="F15" s="73"/>
      <x:c r="G15" s="73"/>
      <x:c r="H15" s="73"/>
      <x:c r="I15" s="73"/>
      <x:c r="J15" s="73"/>
      <x:c r="K15" s="73"/>
    </x:row>
    <x:row r="16" ht="22" customHeight="1">
      <x:c r="C16" s="84" t="str">
        <x:v>2031 retained reserve income</x:v>
      </x:c>
      <x:c r="D16" s="73"/>
      <x:c r="E16" s="95" t="n">
        <x:f>Model!O21*Model!O14</x:f>
        <x:v>2133.665370809362</x:v>
      </x:c>
      <x:c r="F16" s="73"/>
      <x:c r="G16" s="73"/>
      <x:c r="H16" s="73"/>
      <x:c r="I16" s="73"/>
      <x:c r="J16" s="73"/>
      <x:c r="K16" s="73"/>
    </x:row>
    <x:row r="17" ht="22" customHeight="1">
      <x:c r="C17" s="84" t="str">
        <x:v>2031 corporate bank cash</x:v>
      </x:c>
      <x:c r="D17" s="73"/>
      <x:c r="E17" s="95" t="n">
        <x:f>Model!O99</x:f>
        <x:v>4663.18771624804</x:v>
      </x:c>
      <x:c r="F17" s="73"/>
      <x:c r="G17" s="73"/>
      <x:c r="H17" s="73"/>
      <x:c r="I17" s="73"/>
      <x:c r="J17" s="73"/>
      <x:c r="K17" s="73"/>
    </x:row>
    <x:row r="18" ht="22" customHeight="1">
      <x:c r="C18" s="84" t="str">
        <x:v>2031 corporate-owned USDC</x:v>
      </x:c>
      <x:c r="D18" s="73"/>
      <x:c r="E18" s="95" t="n">
        <x:f>Model!O100</x:f>
        <x:v>889.311</x:v>
      </x:c>
      <x:c r="F18" s="73"/>
      <x:c r="G18" s="73"/>
      <x:c r="H18" s="73"/>
      <x:c r="I18" s="73"/>
      <x:c r="J18" s="73"/>
      <x:c r="K18" s="73"/>
    </x:row>
    <x:row r="19" ht="22" customHeight="1">
      <x:c r="C19" s="69"/>
      <x:c r="D19" s="73"/>
      <x:c r="E19" s="73"/>
      <x:c r="F19" s="73"/>
      <x:c r="G19" s="73"/>
      <x:c r="H19" s="73"/>
      <x:c r="I19" s="73"/>
      <x:c r="J19" s="73"/>
      <x:c r="K19" s="73"/>
    </x:row>
    <x:row r="20" ht="22" customHeight="1">
      <x:c r="C20" s="84" t="str">
        <x:v>Locked Base reverse growth</x:v>
      </x:c>
      <x:c r="D20" s="73"/>
      <x:c r="E20" s="97" t="n">
        <x:f>Valuation!E18</x:f>
        <x:v>0.43195163166319606</x:v>
      </x:c>
      <x:c r="F20" s="73"/>
      <x:c r="G20" s="73"/>
      <x:c r="H20" s="73"/>
      <x:c r="I20" s="73"/>
      <x:c r="J20" s="73"/>
      <x:c r="K20" s="73"/>
    </x:row>
    <x:row r="21" ht="22" customHeight="1">
      <x:c r="C21" s="69"/>
      <x:c r="D21" s="73"/>
      <x:c r="E21" s="73"/>
      <x:c r="F21" s="73"/>
      <x:c r="G21" s="73"/>
      <x:c r="H21" s="73"/>
      <x:c r="I21" s="73"/>
      <x:c r="J21" s="73"/>
      <x:c r="K21" s="73"/>
    </x:row>
    <x:row r="22" ht="22" customHeight="1">
      <x:c r="C22" s="69"/>
      <x:c r="D22" s="73"/>
      <x:c r="E22" s="73"/>
      <x:c r="F22" s="73"/>
      <x:c r="G22" s="73"/>
      <x:c r="H22" s="73"/>
      <x:c r="I22" s="73"/>
      <x:c r="J22" s="73"/>
      <x:c r="K22" s="73"/>
    </x:row>
    <x:row r="23" ht="22" customHeight="1">
      <x:c r="C23" s="69"/>
      <x:c r="D23" s="73"/>
      <x:c r="E23" s="73"/>
      <x:c r="F23" s="73"/>
      <x:c r="G23" s="73"/>
      <x:c r="H23" s="73"/>
      <x:c r="I23" s="73"/>
      <x:c r="J23" s="73"/>
      <x:c r="K23" s="73"/>
    </x:row>
    <x:row r="24" ht="32" customHeight="1">
      <x:c r="C24" s="98" t="str">
        <x:v>Use the case selector on Assumptions. Blue inputs are editable; green/red highlight operating results and cash movements.</x:v>
      </x:c>
      <x:c r="D24" s="78"/>
      <x:c r="E24" s="78"/>
      <x:c r="F24" s="78"/>
      <x:c r="G24" s="78"/>
      <x:c r="H24" s="78"/>
      <x:c r="I24" s="78"/>
      <x:c r="J24" s="78"/>
      <x:c r="K24" s="78"/>
    </x:row>
    <x:row r="25" ht="22" customHeight="1">
      <x:c r="C25" s="79"/>
      <x:c r="D25" s="80"/>
      <x:c r="E25" s="80"/>
      <x:c r="F25" s="80"/>
      <x:c r="G25" s="80"/>
      <x:c r="H25" s="80"/>
      <x:c r="I25" s="80"/>
      <x:c r="J25" s="80"/>
      <x:c r="K25" s="80"/>
    </x:row>
    <x:row r="26" ht="32" customHeight="1">
      <x:c r="C26" s="98" t="str">
        <x:v>Forecast economics are conditional. The core model includes disclosed financing and stock-deal commitments.</x:v>
      </x:c>
      <x:c r="D26" s="78"/>
      <x:c r="E26" s="78"/>
      <x:c r="F26" s="78"/>
      <x:c r="G26" s="78"/>
      <x:c r="H26" s="78"/>
      <x:c r="I26" s="78"/>
      <x:c r="J26" s="78"/>
      <x:c r="K26" s="78"/>
    </x:row>
    <x:row r="27" ht="22" customHeight="1">
      <x:c r="C27" s="79"/>
      <x:c r="D27" s="80"/>
      <x:c r="E27" s="80"/>
      <x:c r="F27" s="80"/>
      <x:c r="G27" s="80"/>
      <x:c r="H27" s="80"/>
      <x:c r="I27" s="80"/>
      <x:c r="J27" s="80"/>
      <x:c r="K27" s="80"/>
    </x:row>
    <x:row r="28" ht="32" customHeight="1">
      <x:c r="C28" s="98" t="str">
        <x:v>Cash at the October valuation date is modeled from the June statement; it is not a reported balance.</x:v>
      </x:c>
      <x:c r="D28" s="78"/>
      <x:c r="E28" s="78"/>
      <x:c r="F28" s="78"/>
      <x:c r="G28" s="78"/>
      <x:c r="H28" s="78"/>
      <x:c r="I28" s="78"/>
      <x:c r="J28" s="78"/>
      <x:c r="K28" s="78"/>
    </x:row>
    <x:row r="29" ht="22" customHeight="1">
      <x:c r="C29" s="79"/>
      <x:c r="D29" s="80"/>
      <x:c r="E29" s="80"/>
      <x:c r="F29" s="80"/>
      <x:c r="G29" s="80"/>
      <x:c r="H29" s="80"/>
      <x:c r="I29" s="80"/>
      <x:c r="J29" s="80"/>
      <x:c r="K29" s="80"/>
    </x:row>
    <x:row r="30" ht="32" customHeight="1">
      <x:c r="C30" s="98" t="str">
        <x:v>Customer reserve assets are excluded from excess cash. Own stablecoin earnings are excluded from core DCF.</x:v>
      </x:c>
      <x:c r="D30" s="78"/>
      <x:c r="E30" s="78"/>
      <x:c r="F30" s="78"/>
      <x:c r="G30" s="78"/>
      <x:c r="H30" s="78"/>
      <x:c r="I30" s="78"/>
      <x:c r="J30" s="78"/>
      <x:c r="K30" s="78"/>
    </x:row>
    <x:row r="31" ht="22" customHeight="1">
      <x:c r="C31" s="79"/>
      <x:c r="D31" s="80"/>
      <x:c r="E31" s="80"/>
      <x:c r="F31" s="80"/>
      <x:c r="G31" s="80"/>
      <x:c r="H31" s="80"/>
      <x:c r="I31" s="80"/>
      <x:c r="J31" s="80"/>
      <x:c r="K31" s="80"/>
    </x:row>
    <x:row r="32" ht="32" customHeight="1">
      <x:c r="C32" s="98" t="str">
        <x:v>The benchmark uses the disclosed June portfolio. Exact October point dilution remains unknown.</x:v>
      </x:c>
      <x:c r="D32" s="78"/>
      <x:c r="E32" s="78"/>
      <x:c r="F32" s="78"/>
      <x:c r="G32" s="78"/>
      <x:c r="H32" s="78"/>
      <x:c r="I32" s="78"/>
      <x:c r="J32" s="78"/>
      <x:c r="K32" s="78"/>
    </x:row>
    <x:row r="33" ht="22" customHeight="1">
      <x:c r="C33" s="79"/>
      <x:c r="D33" s="80"/>
      <x:c r="E33" s="80"/>
      <x:c r="F33" s="80"/>
      <x:c r="G33" s="80"/>
      <x:c r="H33" s="80"/>
      <x:c r="I33" s="80"/>
      <x:c r="J33" s="80"/>
      <x:c r="K33" s="80"/>
    </x:row>
    <x:row r="34" ht="32" customHeight="1">
      <x:c r="C34" s="98" t="str">
        <x:v>Locked Base reverse DCF: 43.20% annual balance growth from Q4 2026.</x:v>
      </x:c>
      <x:c r="D34" s="78"/>
      <x:c r="E34" s="78"/>
      <x:c r="F34" s="78"/>
      <x:c r="G34" s="78"/>
      <x:c r="H34" s="78"/>
      <x:c r="I34" s="78"/>
      <x:c r="J34" s="78"/>
      <x:c r="K34" s="78"/>
    </x:row>
    <x:row r="35" ht="22" customHeight="1">
      <x:c r="C35" s="79"/>
      <x:c r="D35" s="80"/>
      <x:c r="E35" s="80"/>
      <x:c r="F35" s="80"/>
      <x:c r="G35" s="80"/>
      <x:c r="H35" s="80"/>
      <x:c r="I35" s="80"/>
      <x:c r="J35" s="80"/>
      <x:c r="K35" s="80"/>
    </x:row>
    <x:row r="36" ht="32" customHeight="1">
      <x:c r="C36" s="98" t="str">
        <x:v>Report charts and comparative results are frozen publication artifacts; the workbook build is live.</x:v>
      </x:c>
      <x:c r="D36" s="78"/>
      <x:c r="E36" s="78"/>
      <x:c r="F36" s="78"/>
      <x:c r="G36" s="78"/>
      <x:c r="H36" s="78"/>
      <x:c r="I36" s="78"/>
      <x:c r="J36" s="78"/>
      <x:c r="K36" s="78"/>
    </x:row>
    <x:row r="37" ht="22" customHeight="1">
      <x:c r="C37" s="79"/>
      <x:c r="D37" s="80"/>
      <x:c r="E37" s="80"/>
      <x:c r="F37" s="80"/>
      <x:c r="G37" s="80"/>
      <x:c r="H37" s="80"/>
      <x:c r="I37" s="80"/>
      <x:c r="J37" s="80"/>
      <x:c r="K37" s="80"/>
    </x:row>
    <x:row r="38" ht="32" customHeight="1">
      <x:c r="C38" s="98" t="str">
        <x:v>A zero continuing-business DCF floor does not estimate liquidation proceeds or the option to cut spending.</x:v>
      </x:c>
      <x:c r="D38" s="78"/>
      <x:c r="E38" s="78"/>
      <x:c r="F38" s="78"/>
      <x:c r="G38" s="78"/>
      <x:c r="H38" s="78"/>
      <x:c r="I38" s="78"/>
      <x:c r="J38" s="78"/>
      <x:c r="K38" s="78"/>
    </x:row>
    <x:row r="39" ht="22" customHeight="1">
      <x:c r="C39" s="69"/>
      <x:c r="D39" s="73"/>
      <x:c r="E39" s="73"/>
      <x:c r="F39" s="73"/>
      <x:c r="G39" s="73"/>
      <x:c r="H39" s="73"/>
      <x:c r="I39" s="73"/>
      <x:c r="J39" s="73"/>
      <x:c r="K39" s="73"/>
    </x:row>
    <x:row r="40" ht="22" customHeight="1">
      <x:c r="C40" s="69"/>
      <x:c r="D40" s="73"/>
      <x:c r="E40" s="73"/>
      <x:c r="F40" s="73"/>
      <x:c r="G40" s="73"/>
      <x:c r="H40" s="73"/>
      <x:c r="I40" s="73"/>
      <x:c r="J40" s="73"/>
      <x:c r="K40" s="73"/>
    </x:row>
    <x:row r="41" ht="22" customHeight="1">
      <x:c r="C41" s="69"/>
      <x:c r="D41" s="73"/>
      <x:c r="E41" s="73"/>
      <x:c r="F41" s="73"/>
      <x:c r="G41" s="73"/>
      <x:c r="H41" s="73"/>
      <x:c r="I41" s="73"/>
      <x:c r="J41" s="73"/>
      <x:c r="K41" s="73"/>
    </x:row>
    <x:row r="42" ht="22" customHeight="1">
      <x:c r="C42" s="69"/>
      <x:c r="D42" s="73"/>
      <x:c r="E42" s="73"/>
      <x:c r="F42" s="73"/>
      <x:c r="G42" s="73"/>
      <x:c r="H42" s="73"/>
      <x:c r="I42" s="73"/>
      <x:c r="J42" s="73"/>
      <x:c r="K42" s="73"/>
    </x:row>
    <x:row r="43" ht="22" customHeight="1">
      <x:c r="C43" s="69"/>
      <x:c r="D43" s="73"/>
      <x:c r="E43" s="73"/>
      <x:c r="F43" s="73"/>
      <x:c r="G43" s="73"/>
      <x:c r="H43" s="73"/>
      <x:c r="I43" s="73"/>
      <x:c r="J43" s="73"/>
      <x:c r="K43" s="73"/>
    </x:row>
    <x:row r="44" ht="22" customHeight="1">
      <x:c r="C44" s="69"/>
      <x:c r="D44" s="73"/>
      <x:c r="E44" s="73"/>
      <x:c r="F44" s="73"/>
      <x:c r="G44" s="73"/>
      <x:c r="H44" s="73"/>
      <x:c r="I44" s="73"/>
      <x:c r="J44" s="73"/>
      <x:c r="K44" s="73"/>
    </x:row>
    <x:row r="45" ht="22" customHeight="1">
      <x:c r="C45" s="69"/>
      <x:c r="D45" s="73"/>
      <x:c r="E45" s="73"/>
      <x:c r="F45" s="73"/>
      <x:c r="G45" s="73"/>
      <x:c r="H45" s="73"/>
      <x:c r="I45" s="73"/>
      <x:c r="J45" s="73"/>
      <x:c r="K45" s="73"/>
    </x:row>
    <x:row r="46" ht="22" customHeight="1">
      <x:c r="C46" s="69"/>
      <x:c r="D46" s="73"/>
      <x:c r="E46" s="73"/>
      <x:c r="F46" s="73"/>
      <x:c r="G46" s="73"/>
      <x:c r="H46" s="73"/>
      <x:c r="I46" s="73"/>
      <x:c r="J46" s="73"/>
      <x:c r="K46" s="73"/>
    </x:row>
    <x:row r="47" ht="22" customHeight="1">
      <x:c r="C47" s="69"/>
      <x:c r="D47" s="73"/>
      <x:c r="E47" s="73"/>
      <x:c r="F47" s="73"/>
      <x:c r="G47" s="73"/>
      <x:c r="H47" s="73"/>
      <x:c r="I47" s="73"/>
      <x:c r="J47" s="73"/>
      <x:c r="K47" s="73"/>
    </x:row>
    <x:row r="48" ht="22" customHeight="1">
      <x:c r="C48" s="69"/>
      <x:c r="D48" s="73"/>
      <x:c r="E48" s="73"/>
      <x:c r="F48" s="73"/>
      <x:c r="G48" s="73"/>
      <x:c r="H48" s="73"/>
      <x:c r="I48" s="73"/>
      <x:c r="J48" s="73"/>
      <x:c r="K48" s="73"/>
    </x:row>
  </x:sheetData>
  <x:mergeCells>
    <x:mergeCell ref="C24:K24"/>
    <x:mergeCell ref="C26:K26"/>
    <x:mergeCell ref="C28:K28"/>
    <x:mergeCell ref="C30:K30"/>
    <x:mergeCell ref="C32:K32"/>
    <x:mergeCell ref="C34:K34"/>
    <x:mergeCell ref="C36:K36"/>
    <x:mergeCell ref="C38:K38"/>
    <x:mergeCell ref="C3:K3"/>
  </x:mergeCells>
  <x:conditionalFormatting sqref="E14:E14">
    <x:cfRule type="cellIs" dxfId="225" priority="1" operator="greaterThan">
      <x:formula>0</x:formula>
    </x:cfRule>
    <x:cfRule type="cellIs" dxfId="226" priority="2" operator="lessThan">
      <x:formula>0</x:formula>
    </x:cfRule>
  </x:conditionalFormatting>
  <x:conditionalFormatting sqref="E16:E16">
    <x:cfRule type="cellIs" dxfId="227" priority="3" operator="greaterThan">
      <x:formula>0</x:formula>
    </x:cfRule>
    <x:cfRule type="cellIs" dxfId="228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385e5021a9248be"/>
</x:worksheet>
</file>

<file path=xl/worksheets/sheet2.xml><?xml version="1.0" encoding="utf-8"?>
<x:worksheet xmlns:x="http://schemas.openxmlformats.org/spreadsheetml/2006/main">
  <x:sheetPr>
    <x:tabColor rgb="FF5FBFFF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</x:row>
    <x:row r="2" ht="22" customHeight="1">
      <x:c r="C2" s="81" t="str">
        <x:v>Operating assumptions</x:v>
      </x:c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 ht="22" customHeight="1"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</x:row>
    <x:row r="4" ht="22" customHeight="1">
      <x:c r="C4" s="84" t="str">
        <x:v>Case: 1 Downside, 2 Base, 3 Upside</x:v>
      </x:c>
      <x:c r="D4" s="105" t="n">
        <x:v>2</x:v>
      </x:c>
      <x:c r="E4" s="106" t="str">
        <x:f>CHOOSE(D4,"Downside","Base","Upside")</x:f>
        <x:v>Base</x:v>
      </x:c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ht="22" customHeight="1">
      <x:c r="C5" s="69"/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</x:row>
    <x:row r="6" ht="22" customHeight="1">
      <x:c r="C6" s="107"/>
      <x:c r="D6" s="107" t="str">
        <x:v>Q3:26</x:v>
      </x:c>
      <x:c r="E6" s="107" t="str">
        <x:v>Q4:26</x:v>
      </x:c>
      <x:c r="F6" s="107" t="str">
        <x:v>Q1:27</x:v>
      </x:c>
      <x:c r="G6" s="107" t="str">
        <x:v>Q2:27</x:v>
      </x:c>
      <x:c r="H6" s="107" t="str">
        <x:v>Q3:27</x:v>
      </x:c>
      <x:c r="I6" s="107" t="str">
        <x:v>Q4:27</x:v>
      </x:c>
      <x:c r="J6" s="107" t="str">
        <x:v>Q1:28</x:v>
      </x:c>
      <x:c r="K6" s="107" t="str">
        <x:v>Q2:28</x:v>
      </x:c>
      <x:c r="L6" s="107" t="str">
        <x:v>H2:28</x:v>
      </x:c>
      <x:c r="M6" s="107" t="str">
        <x:v>FY:29</x:v>
      </x:c>
      <x:c r="N6" s="107" t="str">
        <x:v>FY:30</x:v>
      </x:c>
      <x:c r="O6" s="107" t="str">
        <x:v>FY:31</x:v>
      </x:c>
    </x:row>
    <x:row r="7" ht="22" customHeight="1">
      <x:c r="C7" s="69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</x:row>
    <x:row r="8" ht="22" customHeight="1">
      <x:c r="C8" s="109" t="str">
        <x:v>growth - active</x:v>
      </x:c>
      <x:c r="D8" s="112" t="n">
        <x:f>IF(CHOOSE($D$4,ISNUMBER(D9),ISNUMBER(D10),ISNUMBER(D11)),CHOOSE($D$4,D9,D10,D11),NA())</x:f>
        <x:v>0.15</x:v>
      </x:c>
      <x:c r="E8" s="112" t="n">
        <x:f>IF(CHOOSE($D$4,ISNUMBER(E9),ISNUMBER(E10),ISNUMBER(E11)),CHOOSE($D$4,E9,E10,E11),NA())</x:f>
        <x:v>0.15</x:v>
      </x:c>
      <x:c r="F8" s="112" t="n">
        <x:f>IF(CHOOSE($D$4,ISNUMBER(F9),ISNUMBER(F10),ISNUMBER(F11)),CHOOSE($D$4,F9,F10,F11),NA())</x:f>
        <x:v>0.25</x:v>
      </x:c>
      <x:c r="G8" s="112" t="n">
        <x:f>IF(CHOOSE($D$4,ISNUMBER(G9),ISNUMBER(G10),ISNUMBER(G11)),CHOOSE($D$4,G9,G10,G11),NA())</x:f>
        <x:v>0.25</x:v>
      </x:c>
      <x:c r="H8" s="112" t="n">
        <x:f>IF(CHOOSE($D$4,ISNUMBER(H9),ISNUMBER(H10),ISNUMBER(H11)),CHOOSE($D$4,H9,H10,H11),NA())</x:f>
        <x:v>0.25</x:v>
      </x:c>
      <x:c r="I8" s="112" t="n">
        <x:f>IF(CHOOSE($D$4,ISNUMBER(I9),ISNUMBER(I10),ISNUMBER(I11)),CHOOSE($D$4,I9,I10,I11),NA())</x:f>
        <x:v>0.25</x:v>
      </x:c>
      <x:c r="J8" s="112" t="n">
        <x:f>IF(CHOOSE($D$4,ISNUMBER(J9),ISNUMBER(J10),ISNUMBER(J11)),CHOOSE($D$4,J9,J10,J11),NA())</x:f>
        <x:v>0.2</x:v>
      </x:c>
      <x:c r="K8" s="112" t="n">
        <x:f>IF(CHOOSE($D$4,ISNUMBER(K9),ISNUMBER(K10),ISNUMBER(K11)),CHOOSE($D$4,K9,K10,K11),NA())</x:f>
        <x:v>0.2</x:v>
      </x:c>
      <x:c r="L8" s="112" t="n">
        <x:f>IF(CHOOSE($D$4,ISNUMBER(L9),ISNUMBER(L10),ISNUMBER(L11)),CHOOSE($D$4,L9,L10,L11),NA())</x:f>
        <x:v>0.2</x:v>
      </x:c>
      <x:c r="M8" s="112" t="n">
        <x:f>IF(CHOOSE($D$4,ISNUMBER(M9),ISNUMBER(M10),ISNUMBER(M11)),CHOOSE($D$4,M9,M10,M11),NA())</x:f>
        <x:v>0.17</x:v>
      </x:c>
      <x:c r="N8" s="112" t="n">
        <x:f>IF(CHOOSE($D$4,ISNUMBER(N9),ISNUMBER(N10),ISNUMBER(N11)),CHOOSE($D$4,N9,N10,N11),NA())</x:f>
        <x:v>0.14</x:v>
      </x:c>
      <x:c r="O8" s="112" t="n">
        <x:f>IF(CHOOSE($D$4,ISNUMBER(O9),ISNUMBER(O10),ISNUMBER(O11)),CHOOSE($D$4,O9,O10,O11),NA())</x:f>
        <x:v>0.12</x:v>
      </x:c>
    </x:row>
    <x:row r="9" ht="22" customHeight="1">
      <x:c r="C9" s="84" t="str">
        <x:v>Downside</x:v>
      </x:c>
      <x:c r="D9" s="114" t="n">
        <x:v>-0.08</x:v>
      </x:c>
      <x:c r="E9" s="114" t="n">
        <x:v>-0.08</x:v>
      </x:c>
      <x:c r="F9" s="114" t="n">
        <x:v>0.05</x:v>
      </x:c>
      <x:c r="G9" s="114" t="n">
        <x:v>0.05</x:v>
      </x:c>
      <x:c r="H9" s="114" t="n">
        <x:v>0.05</x:v>
      </x:c>
      <x:c r="I9" s="114" t="n">
        <x:v>0.05</x:v>
      </x:c>
      <x:c r="J9" s="114" t="n">
        <x:v>0.06</x:v>
      </x:c>
      <x:c r="K9" s="114" t="n">
        <x:v>0.06</x:v>
      </x:c>
      <x:c r="L9" s="114" t="n">
        <x:v>0.06</x:v>
      </x:c>
      <x:c r="M9" s="114" t="n">
        <x:v>0.06</x:v>
      </x:c>
      <x:c r="N9" s="114" t="n">
        <x:v>0.06</x:v>
      </x:c>
      <x:c r="O9" s="114" t="n">
        <x:v>0.06</x:v>
      </x:c>
    </x:row>
    <x:row r="10" ht="22" customHeight="1">
      <x:c r="C10" s="84" t="str">
        <x:v>Base</x:v>
      </x:c>
      <x:c r="D10" s="114" t="n">
        <x:v>0.15</x:v>
      </x:c>
      <x:c r="E10" s="114" t="n">
        <x:v>0.15</x:v>
      </x:c>
      <x:c r="F10" s="114" t="n">
        <x:v>0.25</x:v>
      </x:c>
      <x:c r="G10" s="114" t="n">
        <x:v>0.25</x:v>
      </x:c>
      <x:c r="H10" s="114" t="n">
        <x:v>0.25</x:v>
      </x:c>
      <x:c r="I10" s="114" t="n">
        <x:v>0.25</x:v>
      </x:c>
      <x:c r="J10" s="114" t="n">
        <x:v>0.2</x:v>
      </x:c>
      <x:c r="K10" s="114" t="n">
        <x:v>0.2</x:v>
      </x:c>
      <x:c r="L10" s="114" t="n">
        <x:v>0.2</x:v>
      </x:c>
      <x:c r="M10" s="114" t="n">
        <x:v>0.17</x:v>
      </x:c>
      <x:c r="N10" s="114" t="n">
        <x:v>0.14</x:v>
      </x:c>
      <x:c r="O10" s="114" t="n">
        <x:v>0.12</x:v>
      </x:c>
    </x:row>
    <x:row r="11" ht="22" customHeight="1">
      <x:c r="C11" s="84" t="str">
        <x:v>Upside</x:v>
      </x:c>
      <x:c r="D11" s="114" t="n">
        <x:v>0.25</x:v>
      </x:c>
      <x:c r="E11" s="114" t="n">
        <x:v>0.25</x:v>
      </x:c>
      <x:c r="F11" s="114" t="n">
        <x:v>0.4</x:v>
      </x:c>
      <x:c r="G11" s="114" t="n">
        <x:v>0.4</x:v>
      </x:c>
      <x:c r="H11" s="114" t="n">
        <x:v>0.4</x:v>
      </x:c>
      <x:c r="I11" s="114" t="n">
        <x:v>0.4</x:v>
      </x:c>
      <x:c r="J11" s="114" t="n">
        <x:v>0.35</x:v>
      </x:c>
      <x:c r="K11" s="114" t="n">
        <x:v>0.35</x:v>
      </x:c>
      <x:c r="L11" s="114" t="n">
        <x:v>0.35</x:v>
      </x:c>
      <x:c r="M11" s="114" t="n">
        <x:v>0.3</x:v>
      </x:c>
      <x:c r="N11" s="114" t="n">
        <x:v>0.25</x:v>
      </x:c>
      <x:c r="O11" s="114" t="n">
        <x:v>0.2</x:v>
      </x:c>
    </x:row>
    <x:row r="12" ht="22" customHeight="1">
      <x:c r="C12" s="69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</x:row>
    <x:row r="13" ht="22" customHeight="1">
      <x:c r="C13" s="109" t="str">
        <x:v>yield - active</x:v>
      </x:c>
      <x:c r="D13" s="112" t="n">
        <x:f>IF(CHOOSE($D$4,ISNUMBER(D14),ISNUMBER(D15),ISNUMBER(D16)),CHOOSE($D$4,D14,D15,D16),NA())</x:f>
        <x:v>0.035</x:v>
      </x:c>
      <x:c r="E13" s="112" t="n">
        <x:f>IF(CHOOSE($D$4,ISNUMBER(E14),ISNUMBER(E15),ISNUMBER(E16)),CHOOSE($D$4,E14,E15,E16),NA())</x:f>
        <x:v>0.035</x:v>
      </x:c>
      <x:c r="F13" s="112" t="n">
        <x:f>IF(CHOOSE($D$4,ISNUMBER(F14),ISNUMBER(F15),ISNUMBER(F16)),CHOOSE($D$4,F14,F15,F16),NA())</x:f>
        <x:v>0.031</x:v>
      </x:c>
      <x:c r="G13" s="112" t="n">
        <x:f>IF(CHOOSE($D$4,ISNUMBER(G14),ISNUMBER(G15),ISNUMBER(G16)),CHOOSE($D$4,G14,G15,G16),NA())</x:f>
        <x:v>0.031</x:v>
      </x:c>
      <x:c r="H13" s="112" t="n">
        <x:f>IF(CHOOSE($D$4,ISNUMBER(H14),ISNUMBER(H15),ISNUMBER(H16)),CHOOSE($D$4,H14,H15,H16),NA())</x:f>
        <x:v>0.031</x:v>
      </x:c>
      <x:c r="I13" s="112" t="n">
        <x:f>IF(CHOOSE($D$4,ISNUMBER(I14),ISNUMBER(I15),ISNUMBER(I16)),CHOOSE($D$4,I14,I15,I16),NA())</x:f>
        <x:v>0.031</x:v>
      </x:c>
      <x:c r="J13" s="112" t="n">
        <x:f>IF(CHOOSE($D$4,ISNUMBER(J14),ISNUMBER(J15),ISNUMBER(J16)),CHOOSE($D$4,J14,J15,J16),NA())</x:f>
        <x:v>0.03</x:v>
      </x:c>
      <x:c r="K13" s="112" t="n">
        <x:f>IF(CHOOSE($D$4,ISNUMBER(K14),ISNUMBER(K15),ISNUMBER(K16)),CHOOSE($D$4,K14,K15,K16),NA())</x:f>
        <x:v>0.03</x:v>
      </x:c>
      <x:c r="L13" s="112" t="n">
        <x:f>IF(CHOOSE($D$4,ISNUMBER(L14),ISNUMBER(L15),ISNUMBER(L16)),CHOOSE($D$4,L14,L15,L16),NA())</x:f>
        <x:v>0.03</x:v>
      </x:c>
      <x:c r="M13" s="112" t="n">
        <x:f>IF(CHOOSE($D$4,ISNUMBER(M14),ISNUMBER(M15),ISNUMBER(M16)),CHOOSE($D$4,M14,M15,M16),NA())</x:f>
        <x:v>0.03</x:v>
      </x:c>
      <x:c r="N13" s="112" t="n">
        <x:f>IF(CHOOSE($D$4,ISNUMBER(N14),ISNUMBER(N15),ISNUMBER(N16)),CHOOSE($D$4,N14,N15,N16),NA())</x:f>
        <x:v>0.03</x:v>
      </x:c>
      <x:c r="O13" s="112" t="n">
        <x:f>IF(CHOOSE($D$4,ISNUMBER(O14),ISNUMBER(O15),ISNUMBER(O16)),CHOOSE($D$4,O14,O15,O16),NA())</x:f>
        <x:v>0.03</x:v>
      </x:c>
    </x:row>
    <x:row r="14" ht="22" customHeight="1">
      <x:c r="C14" s="84" t="str">
        <x:v>Downside</x:v>
      </x:c>
      <x:c r="D14" s="114" t="n">
        <x:v>0.033</x:v>
      </x:c>
      <x:c r="E14" s="114" t="n">
        <x:v>0.033</x:v>
      </x:c>
      <x:c r="F14" s="114" t="n">
        <x:v>0.025</x:v>
      </x:c>
      <x:c r="G14" s="114" t="n">
        <x:v>0.025</x:v>
      </x:c>
      <x:c r="H14" s="114" t="n">
        <x:v>0.025</x:v>
      </x:c>
      <x:c r="I14" s="114" t="n">
        <x:v>0.025</x:v>
      </x:c>
      <x:c r="J14" s="114" t="n">
        <x:v>0.021</x:v>
      </x:c>
      <x:c r="K14" s="114" t="n">
        <x:v>0.021</x:v>
      </x:c>
      <x:c r="L14" s="114" t="n">
        <x:v>0.021</x:v>
      </x:c>
      <x:c r="M14" s="114" t="n">
        <x:v>0.02</x:v>
      </x:c>
      <x:c r="N14" s="114" t="n">
        <x:v>0.02</x:v>
      </x:c>
      <x:c r="O14" s="114" t="n">
        <x:v>0.02</x:v>
      </x:c>
    </x:row>
    <x:row r="15" ht="22" customHeight="1">
      <x:c r="C15" s="84" t="str">
        <x:v>Base</x:v>
      </x:c>
      <x:c r="D15" s="114" t="n">
        <x:v>0.035</x:v>
      </x:c>
      <x:c r="E15" s="114" t="n">
        <x:v>0.035</x:v>
      </x:c>
      <x:c r="F15" s="114" t="n">
        <x:v>0.031</x:v>
      </x:c>
      <x:c r="G15" s="114" t="n">
        <x:v>0.031</x:v>
      </x:c>
      <x:c r="H15" s="114" t="n">
        <x:v>0.031</x:v>
      </x:c>
      <x:c r="I15" s="114" t="n">
        <x:v>0.031</x:v>
      </x:c>
      <x:c r="J15" s="114" t="n">
        <x:v>0.03</x:v>
      </x:c>
      <x:c r="K15" s="114" t="n">
        <x:v>0.03</x:v>
      </x:c>
      <x:c r="L15" s="114" t="n">
        <x:v>0.03</x:v>
      </x:c>
      <x:c r="M15" s="114" t="n">
        <x:v>0.03</x:v>
      </x:c>
      <x:c r="N15" s="114" t="n">
        <x:v>0.03</x:v>
      </x:c>
      <x:c r="O15" s="114" t="n">
        <x:v>0.03</x:v>
      </x:c>
    </x:row>
    <x:row r="16" ht="22" customHeight="1">
      <x:c r="C16" s="84" t="str">
        <x:v>Upside</x:v>
      </x:c>
      <x:c r="D16" s="114" t="n">
        <x:v>0.035</x:v>
      </x:c>
      <x:c r="E16" s="114" t="n">
        <x:v>0.035</x:v>
      </x:c>
      <x:c r="F16" s="114" t="n">
        <x:v>0.035</x:v>
      </x:c>
      <x:c r="G16" s="114" t="n">
        <x:v>0.035</x:v>
      </x:c>
      <x:c r="H16" s="114" t="n">
        <x:v>0.035</x:v>
      </x:c>
      <x:c r="I16" s="114" t="n">
        <x:v>0.035</x:v>
      </x:c>
      <x:c r="J16" s="114" t="n">
        <x:v>0.034</x:v>
      </x:c>
      <x:c r="K16" s="114" t="n">
        <x:v>0.034</x:v>
      </x:c>
      <x:c r="L16" s="114" t="n">
        <x:v>0.034</x:v>
      </x:c>
      <x:c r="M16" s="114" t="n">
        <x:v>0.034</x:v>
      </x:c>
      <x:c r="N16" s="114" t="n">
        <x:v>0.034</x:v>
      </x:c>
      <x:c r="O16" s="114" t="n">
        <x:v>0.034</x:v>
      </x:c>
    </x:row>
    <x:row r="17" ht="22" customHeight="1">
      <x:c r="C17" s="69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</x:row>
    <x:row r="18" ht="22" customHeight="1">
      <x:c r="C18" s="109" t="str">
        <x:v>capture - active</x:v>
      </x:c>
      <x:c r="D18" s="112" t="n">
        <x:f>IF(CHOOSE($D$4,ISNUMBER(D19),ISNUMBER(D20),ISNUMBER(D21)),CHOOSE($D$4,D19,D20,D21),NA())</x:f>
        <x:v>0.385361902</x:v>
      </x:c>
      <x:c r="E18" s="112" t="n">
        <x:f>IF(CHOOSE($D$4,ISNUMBER(E19),ISNUMBER(E20),ISNUMBER(E21)),CHOOSE($D$4,E19,E20,E21),NA())</x:f>
        <x:v>0.385361902</x:v>
      </x:c>
      <x:c r="F18" s="112" t="n">
        <x:f>IF(CHOOSE($D$4,ISNUMBER(F19),ISNUMBER(F20),ISNUMBER(F21)),CHOOSE($D$4,F19,F20,F21),NA())</x:f>
        <x:v>0.395</x:v>
      </x:c>
      <x:c r="G18" s="112" t="n">
        <x:f>IF(CHOOSE($D$4,ISNUMBER(G19),ISNUMBER(G20),ISNUMBER(G21)),CHOOSE($D$4,G19,G20,G21),NA())</x:f>
        <x:v>0.395</x:v>
      </x:c>
      <x:c r="H18" s="112" t="n">
        <x:f>IF(CHOOSE($D$4,ISNUMBER(H19),ISNUMBER(H20),ISNUMBER(H21)),CHOOSE($D$4,H19,H20,H21),NA())</x:f>
        <x:v>0.395</x:v>
      </x:c>
      <x:c r="I18" s="112" t="n">
        <x:f>IF(CHOOSE($D$4,ISNUMBER(I19),ISNUMBER(I20),ISNUMBER(I21)),CHOOSE($D$4,I19,I20,I21),NA())</x:f>
        <x:v>0.395</x:v>
      </x:c>
      <x:c r="J18" s="112" t="n">
        <x:f>IF(CHOOSE($D$4,ISNUMBER(J19),ISNUMBER(J20),ISNUMBER(J21)),CHOOSE($D$4,J19,J20,J21),NA())</x:f>
        <x:v>0.405</x:v>
      </x:c>
      <x:c r="K18" s="112" t="n">
        <x:f>IF(CHOOSE($D$4,ISNUMBER(K19),ISNUMBER(K20),ISNUMBER(K21)),CHOOSE($D$4,K19,K20,K21),NA())</x:f>
        <x:v>0.405</x:v>
      </x:c>
      <x:c r="L18" s="112" t="n">
        <x:f>IF(CHOOSE($D$4,ISNUMBER(L19),ISNUMBER(L20),ISNUMBER(L21)),CHOOSE($D$4,L19,L20,L21),NA())</x:f>
        <x:v>0.405</x:v>
      </x:c>
      <x:c r="M18" s="112" t="n">
        <x:f>IF(CHOOSE($D$4,ISNUMBER(M19),ISNUMBER(M20),ISNUMBER(M21)),CHOOSE($D$4,M19,M20,M21),NA())</x:f>
        <x:v>0.415</x:v>
      </x:c>
      <x:c r="N18" s="112" t="n">
        <x:f>IF(CHOOSE($D$4,ISNUMBER(N19),ISNUMBER(N20),ISNUMBER(N21)),CHOOSE($D$4,N19,N20,N21),NA())</x:f>
        <x:v>0.42</x:v>
      </x:c>
      <x:c r="O18" s="112" t="n">
        <x:f>IF(CHOOSE($D$4,ISNUMBER(O19),ISNUMBER(O20),ISNUMBER(O21)),CHOOSE($D$4,O19,O20,O21),NA())</x:f>
        <x:v>0.425</x:v>
      </x:c>
    </x:row>
    <x:row r="19" ht="22" customHeight="1">
      <x:c r="C19" s="84" t="str">
        <x:v>Downside</x:v>
      </x:c>
      <x:c r="D19" s="114" t="n">
        <x:v>0.35</x:v>
      </x:c>
      <x:c r="E19" s="114" t="n">
        <x:v>0.35</x:v>
      </x:c>
      <x:c r="F19" s="114" t="n">
        <x:v>0.32</x:v>
      </x:c>
      <x:c r="G19" s="114" t="n">
        <x:v>0.32</x:v>
      </x:c>
      <x:c r="H19" s="114" t="n">
        <x:v>0.32</x:v>
      </x:c>
      <x:c r="I19" s="114" t="n">
        <x:v>0.32</x:v>
      </x:c>
      <x:c r="J19" s="114" t="n">
        <x:v>0.3</x:v>
      </x:c>
      <x:c r="K19" s="114" t="n">
        <x:v>0.3</x:v>
      </x:c>
      <x:c r="L19" s="114" t="n">
        <x:v>0.3</x:v>
      </x:c>
      <x:c r="M19" s="114" t="n">
        <x:v>0.3</x:v>
      </x:c>
      <x:c r="N19" s="114" t="n">
        <x:v>0.3</x:v>
      </x:c>
      <x:c r="O19" s="114" t="n">
        <x:v>0.3</x:v>
      </x:c>
    </x:row>
    <x:row r="20" ht="22" customHeight="1">
      <x:c r="C20" s="84" t="str">
        <x:v>Base</x:v>
      </x:c>
      <x:c r="D20" s="114" t="n">
        <x:v>0.385361902</x:v>
      </x:c>
      <x:c r="E20" s="114" t="n">
        <x:v>0.385361902</x:v>
      </x:c>
      <x:c r="F20" s="114" t="n">
        <x:v>0.395</x:v>
      </x:c>
      <x:c r="G20" s="114" t="n">
        <x:v>0.395</x:v>
      </x:c>
      <x:c r="H20" s="114" t="n">
        <x:v>0.395</x:v>
      </x:c>
      <x:c r="I20" s="114" t="n">
        <x:v>0.395</x:v>
      </x:c>
      <x:c r="J20" s="114" t="n">
        <x:v>0.405</x:v>
      </x:c>
      <x:c r="K20" s="114" t="n">
        <x:v>0.405</x:v>
      </x:c>
      <x:c r="L20" s="114" t="n">
        <x:v>0.405</x:v>
      </x:c>
      <x:c r="M20" s="114" t="n">
        <x:v>0.415</x:v>
      </x:c>
      <x:c r="N20" s="114" t="n">
        <x:v>0.42</x:v>
      </x:c>
      <x:c r="O20" s="114" t="n">
        <x:v>0.425</x:v>
      </x:c>
    </x:row>
    <x:row r="21" ht="22" customHeight="1">
      <x:c r="C21" s="84" t="str">
        <x:v>Upside</x:v>
      </x:c>
      <x:c r="D21" s="114" t="n">
        <x:v>0.405</x:v>
      </x:c>
      <x:c r="E21" s="114" t="n">
        <x:v>0.405</x:v>
      </x:c>
      <x:c r="F21" s="114" t="n">
        <x:v>0.43</x:v>
      </x:c>
      <x:c r="G21" s="114" t="n">
        <x:v>0.43</x:v>
      </x:c>
      <x:c r="H21" s="114" t="n">
        <x:v>0.43</x:v>
      </x:c>
      <x:c r="I21" s="114" t="n">
        <x:v>0.43</x:v>
      </x:c>
      <x:c r="J21" s="114" t="n">
        <x:v>0.455</x:v>
      </x:c>
      <x:c r="K21" s="114" t="n">
        <x:v>0.455</x:v>
      </x:c>
      <x:c r="L21" s="114" t="n">
        <x:v>0.455</x:v>
      </x:c>
      <x:c r="M21" s="114" t="n">
        <x:v>0.475</x:v>
      </x:c>
      <x:c r="N21" s="114" t="n">
        <x:v>0.49</x:v>
      </x:c>
      <x:c r="O21" s="114" t="n">
        <x:v>0.5</x:v>
      </x:c>
    </x:row>
    <x:row r="22" ht="22" customHeight="1">
      <x:c r="C22" s="69"/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</x:row>
    <x:row r="23" ht="22" customHeight="1">
      <x:c r="C23" s="109" t="str">
        <x:v>service growth - active</x:v>
      </x:c>
      <x:c r="D23" s="112" t="n">
        <x:f>IF(CHOOSE($D$4,ISNUMBER(D24),ISNUMBER(D25),ISNUMBER(D26)),CHOOSE($D$4,D24,D25,D26),NA())</x:f>
        <x:v>0.3</x:v>
      </x:c>
      <x:c r="E23" s="112" t="n">
        <x:f>IF(CHOOSE($D$4,ISNUMBER(E24),ISNUMBER(E25),ISNUMBER(E26)),CHOOSE($D$4,E24,E25,E26),NA())</x:f>
        <x:v>0.3</x:v>
      </x:c>
      <x:c r="F23" s="112" t="n">
        <x:f>IF(CHOOSE($D$4,ISNUMBER(F24),ISNUMBER(F25),ISNUMBER(F26)),CHOOSE($D$4,F24,F25,F26),NA())</x:f>
        <x:v>0.4</x:v>
      </x:c>
      <x:c r="G23" s="112" t="n">
        <x:f>IF(CHOOSE($D$4,ISNUMBER(G24),ISNUMBER(G25),ISNUMBER(G26)),CHOOSE($D$4,G24,G25,G26),NA())</x:f>
        <x:v>0.4</x:v>
      </x:c>
      <x:c r="H23" s="112" t="n">
        <x:f>IF(CHOOSE($D$4,ISNUMBER(H24),ISNUMBER(H25),ISNUMBER(H26)),CHOOSE($D$4,H24,H25,H26),NA())</x:f>
        <x:v>0.4</x:v>
      </x:c>
      <x:c r="I23" s="112" t="n">
        <x:f>IF(CHOOSE($D$4,ISNUMBER(I24),ISNUMBER(I25),ISNUMBER(I26)),CHOOSE($D$4,I24,I25,I26),NA())</x:f>
        <x:v>0.4</x:v>
      </x:c>
      <x:c r="J23" s="112" t="n">
        <x:f>IF(CHOOSE($D$4,ISNUMBER(J24),ISNUMBER(J25),ISNUMBER(J26)),CHOOSE($D$4,J24,J25,J26),NA())</x:f>
        <x:v>0.35</x:v>
      </x:c>
      <x:c r="K23" s="112" t="n">
        <x:f>IF(CHOOSE($D$4,ISNUMBER(K24),ISNUMBER(K25),ISNUMBER(K26)),CHOOSE($D$4,K24,K25,K26),NA())</x:f>
        <x:v>0.35</x:v>
      </x:c>
      <x:c r="L23" s="112" t="n">
        <x:f>IF(CHOOSE($D$4,ISNUMBER(L24),ISNUMBER(L25),ISNUMBER(L26)),CHOOSE($D$4,L24,L25,L26),NA())</x:f>
        <x:v>0.35</x:v>
      </x:c>
      <x:c r="M23" s="112" t="n">
        <x:f>IF(CHOOSE($D$4,ISNUMBER(M24),ISNUMBER(M25),ISNUMBER(M26)),CHOOSE($D$4,M24,M25,M26),NA())</x:f>
        <x:v>0.3</x:v>
      </x:c>
      <x:c r="N23" s="112" t="n">
        <x:f>IF(CHOOSE($D$4,ISNUMBER(N24),ISNUMBER(N25),ISNUMBER(N26)),CHOOSE($D$4,N24,N25,N26),NA())</x:f>
        <x:v>0.25</x:v>
      </x:c>
      <x:c r="O23" s="112" t="n">
        <x:f>IF(CHOOSE($D$4,ISNUMBER(O24),ISNUMBER(O25),ISNUMBER(O26)),CHOOSE($D$4,O24,O25,O26),NA())</x:f>
        <x:v>0.2</x:v>
      </x:c>
    </x:row>
    <x:row r="24" ht="22" customHeight="1">
      <x:c r="C24" s="84" t="str">
        <x:v>Downside</x:v>
      </x:c>
      <x:c r="D24" s="114" t="n">
        <x:v>0.1</x:v>
      </x:c>
      <x:c r="E24" s="114" t="n">
        <x:v>0.1</x:v>
      </x:c>
      <x:c r="F24" s="114" t="n">
        <x:v>0.15</x:v>
      </x:c>
      <x:c r="G24" s="114" t="n">
        <x:v>0.15</x:v>
      </x:c>
      <x:c r="H24" s="114" t="n">
        <x:v>0.15</x:v>
      </x:c>
      <x:c r="I24" s="114" t="n">
        <x:v>0.15</x:v>
      </x:c>
      <x:c r="J24" s="114" t="n">
        <x:v>0.15</x:v>
      </x:c>
      <x:c r="K24" s="114" t="n">
        <x:v>0.15</x:v>
      </x:c>
      <x:c r="L24" s="114" t="n">
        <x:v>0.15</x:v>
      </x:c>
      <x:c r="M24" s="114" t="n">
        <x:v>0.12</x:v>
      </x:c>
      <x:c r="N24" s="114" t="n">
        <x:v>0.1</x:v>
      </x:c>
      <x:c r="O24" s="114" t="n">
        <x:v>0.1</x:v>
      </x:c>
    </x:row>
    <x:row r="25" ht="22" customHeight="1">
      <x:c r="C25" s="84" t="str">
        <x:v>Base</x:v>
      </x:c>
      <x:c r="D25" s="114" t="n">
        <x:v>0.3</x:v>
      </x:c>
      <x:c r="E25" s="114" t="n">
        <x:v>0.3</x:v>
      </x:c>
      <x:c r="F25" s="114" t="n">
        <x:v>0.4</x:v>
      </x:c>
      <x:c r="G25" s="114" t="n">
        <x:v>0.4</x:v>
      </x:c>
      <x:c r="H25" s="114" t="n">
        <x:v>0.4</x:v>
      </x:c>
      <x:c r="I25" s="114" t="n">
        <x:v>0.4</x:v>
      </x:c>
      <x:c r="J25" s="114" t="n">
        <x:v>0.35</x:v>
      </x:c>
      <x:c r="K25" s="114" t="n">
        <x:v>0.35</x:v>
      </x:c>
      <x:c r="L25" s="114" t="n">
        <x:v>0.35</x:v>
      </x:c>
      <x:c r="M25" s="114" t="n">
        <x:v>0.3</x:v>
      </x:c>
      <x:c r="N25" s="114" t="n">
        <x:v>0.25</x:v>
      </x:c>
      <x:c r="O25" s="114" t="n">
        <x:v>0.2</x:v>
      </x:c>
    </x:row>
    <x:row r="26" ht="22" customHeight="1">
      <x:c r="C26" s="84" t="str">
        <x:v>Upside</x:v>
      </x:c>
      <x:c r="D26" s="114" t="n">
        <x:v>0.45</x:v>
      </x:c>
      <x:c r="E26" s="114" t="n">
        <x:v>0.45</x:v>
      </x:c>
      <x:c r="F26" s="114" t="n">
        <x:v>0.65</x:v>
      </x:c>
      <x:c r="G26" s="114" t="n">
        <x:v>0.65</x:v>
      </x:c>
      <x:c r="H26" s="114" t="n">
        <x:v>0.65</x:v>
      </x:c>
      <x:c r="I26" s="114" t="n">
        <x:v>0.65</x:v>
      </x:c>
      <x:c r="J26" s="114" t="n">
        <x:v>0.55</x:v>
      </x:c>
      <x:c r="K26" s="114" t="n">
        <x:v>0.55</x:v>
      </x:c>
      <x:c r="L26" s="114" t="n">
        <x:v>0.55</x:v>
      </x:c>
      <x:c r="M26" s="114" t="n">
        <x:v>0.45</x:v>
      </x:c>
      <x:c r="N26" s="114" t="n">
        <x:v>0.35</x:v>
      </x:c>
      <x:c r="O26" s="114" t="n">
        <x:v>0.3</x:v>
      </x:c>
    </x:row>
    <x:row r="27" ht="22" customHeight="1">
      <x:c r="C27" s="69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</x:row>
    <x:row r="28" ht="22" customHeight="1">
      <x:c r="C28" s="109" t="str">
        <x:v>transaction growth - active</x:v>
      </x:c>
      <x:c r="D28" s="112" t="n">
        <x:f>IF(CHOOSE($D$4,ISNUMBER(D29),ISNUMBER(D30),ISNUMBER(D31)),CHOOSE($D$4,D29,D30,D31),NA())</x:f>
        <x:v>0.25</x:v>
      </x:c>
      <x:c r="E28" s="112" t="n">
        <x:f>IF(CHOOSE($D$4,ISNUMBER(E29),ISNUMBER(E30),ISNUMBER(E31)),CHOOSE($D$4,E29,E30,E31),NA())</x:f>
        <x:v>0.25</x:v>
      </x:c>
      <x:c r="F28" s="112" t="n">
        <x:f>IF(CHOOSE($D$4,ISNUMBER(F29),ISNUMBER(F30),ISNUMBER(F31)),CHOOSE($D$4,F29,F30,F31),NA())</x:f>
        <x:v>0.3</x:v>
      </x:c>
      <x:c r="G28" s="112" t="n">
        <x:f>IF(CHOOSE($D$4,ISNUMBER(G29),ISNUMBER(G30),ISNUMBER(G31)),CHOOSE($D$4,G29,G30,G31),NA())</x:f>
        <x:v>0.3</x:v>
      </x:c>
      <x:c r="H28" s="112" t="n">
        <x:f>IF(CHOOSE($D$4,ISNUMBER(H29),ISNUMBER(H30),ISNUMBER(H31)),CHOOSE($D$4,H29,H30,H31),NA())</x:f>
        <x:v>0.3</x:v>
      </x:c>
      <x:c r="I28" s="112" t="n">
        <x:f>IF(CHOOSE($D$4,ISNUMBER(I29),ISNUMBER(I30),ISNUMBER(I31)),CHOOSE($D$4,I29,I30,I31),NA())</x:f>
        <x:v>0.3</x:v>
      </x:c>
      <x:c r="J28" s="112" t="n">
        <x:f>IF(CHOOSE($D$4,ISNUMBER(J29),ISNUMBER(J30),ISNUMBER(J31)),CHOOSE($D$4,J29,J30,J31),NA())</x:f>
        <x:v>0.25</x:v>
      </x:c>
      <x:c r="K28" s="112" t="n">
        <x:f>IF(CHOOSE($D$4,ISNUMBER(K29),ISNUMBER(K30),ISNUMBER(K31)),CHOOSE($D$4,K29,K30,K31),NA())</x:f>
        <x:v>0.25</x:v>
      </x:c>
      <x:c r="L28" s="112" t="n">
        <x:f>IF(CHOOSE($D$4,ISNUMBER(L29),ISNUMBER(L30),ISNUMBER(L31)),CHOOSE($D$4,L29,L30,L31),NA())</x:f>
        <x:v>0.25</x:v>
      </x:c>
      <x:c r="M28" s="112" t="n">
        <x:f>IF(CHOOSE($D$4,ISNUMBER(M29),ISNUMBER(M30),ISNUMBER(M31)),CHOOSE($D$4,M29,M30,M31),NA())</x:f>
        <x:v>0.2</x:v>
      </x:c>
      <x:c r="N28" s="112" t="n">
        <x:f>IF(CHOOSE($D$4,ISNUMBER(N29),ISNUMBER(N30),ISNUMBER(N31)),CHOOSE($D$4,N29,N30,N31),NA())</x:f>
        <x:v>0.18</x:v>
      </x:c>
      <x:c r="O28" s="112" t="n">
        <x:f>IF(CHOOSE($D$4,ISNUMBER(O29),ISNUMBER(O30),ISNUMBER(O31)),CHOOSE($D$4,O29,O30,O31),NA())</x:f>
        <x:v>0.15</x:v>
      </x:c>
    </x:row>
    <x:row r="29" ht="22" customHeight="1">
      <x:c r="C29" s="84" t="str">
        <x:v>Downside</x:v>
      </x:c>
      <x:c r="D29" s="114" t="n">
        <x:v>0.1</x:v>
      </x:c>
      <x:c r="E29" s="114" t="n">
        <x:v>0.1</x:v>
      </x:c>
      <x:c r="F29" s="114" t="n">
        <x:v>0.12</x:v>
      </x:c>
      <x:c r="G29" s="114" t="n">
        <x:v>0.12</x:v>
      </x:c>
      <x:c r="H29" s="114" t="n">
        <x:v>0.12</x:v>
      </x:c>
      <x:c r="I29" s="114" t="n">
        <x:v>0.12</x:v>
      </x:c>
      <x:c r="J29" s="114" t="n">
        <x:v>0.12</x:v>
      </x:c>
      <x:c r="K29" s="114" t="n">
        <x:v>0.12</x:v>
      </x:c>
      <x:c r="L29" s="114" t="n">
        <x:v>0.12</x:v>
      </x:c>
      <x:c r="M29" s="114" t="n">
        <x:v>0.1</x:v>
      </x:c>
      <x:c r="N29" s="114" t="n">
        <x:v>0.1</x:v>
      </x:c>
      <x:c r="O29" s="114" t="n">
        <x:v>0.1</x:v>
      </x:c>
    </x:row>
    <x:row r="30" ht="22" customHeight="1">
      <x:c r="C30" s="84" t="str">
        <x:v>Base</x:v>
      </x:c>
      <x:c r="D30" s="114" t="n">
        <x:v>0.25</x:v>
      </x:c>
      <x:c r="E30" s="114" t="n">
        <x:v>0.25</x:v>
      </x:c>
      <x:c r="F30" s="114" t="n">
        <x:v>0.3</x:v>
      </x:c>
      <x:c r="G30" s="114" t="n">
        <x:v>0.3</x:v>
      </x:c>
      <x:c r="H30" s="114" t="n">
        <x:v>0.3</x:v>
      </x:c>
      <x:c r="I30" s="114" t="n">
        <x:v>0.3</x:v>
      </x:c>
      <x:c r="J30" s="114" t="n">
        <x:v>0.25</x:v>
      </x:c>
      <x:c r="K30" s="114" t="n">
        <x:v>0.25</x:v>
      </x:c>
      <x:c r="L30" s="114" t="n">
        <x:v>0.25</x:v>
      </x:c>
      <x:c r="M30" s="114" t="n">
        <x:v>0.2</x:v>
      </x:c>
      <x:c r="N30" s="114" t="n">
        <x:v>0.18</x:v>
      </x:c>
      <x:c r="O30" s="114" t="n">
        <x:v>0.15</x:v>
      </x:c>
    </x:row>
    <x:row r="31" ht="22" customHeight="1">
      <x:c r="C31" s="84" t="str">
        <x:v>Upside</x:v>
      </x:c>
      <x:c r="D31" s="114" t="n">
        <x:v>0.4</x:v>
      </x:c>
      <x:c r="E31" s="114" t="n">
        <x:v>0.4</x:v>
      </x:c>
      <x:c r="F31" s="114" t="n">
        <x:v>0.5</x:v>
      </x:c>
      <x:c r="G31" s="114" t="n">
        <x:v>0.5</x:v>
      </x:c>
      <x:c r="H31" s="114" t="n">
        <x:v>0.5</x:v>
      </x:c>
      <x:c r="I31" s="114" t="n">
        <x:v>0.5</x:v>
      </x:c>
      <x:c r="J31" s="114" t="n">
        <x:v>0.4</x:v>
      </x:c>
      <x:c r="K31" s="114" t="n">
        <x:v>0.4</x:v>
      </x:c>
      <x:c r="L31" s="114" t="n">
        <x:v>0.4</x:v>
      </x:c>
      <x:c r="M31" s="114" t="n">
        <x:v>0.3</x:v>
      </x:c>
      <x:c r="N31" s="114" t="n">
        <x:v>0.25</x:v>
      </x:c>
      <x:c r="O31" s="114" t="n">
        <x:v>0.2</x:v>
      </x:c>
    </x:row>
    <x:row r="32" ht="22" customHeight="1">
      <x:c r="C32" s="69"/>
      <x:c r="D32" s="73"/>
      <x:c r="E32" s="73"/>
      <x:c r="F32" s="73"/>
      <x:c r="G32" s="73"/>
      <x:c r="H32" s="73"/>
      <x:c r="I32" s="73"/>
      <x:c r="J32" s="73"/>
      <x:c r="K32" s="73"/>
      <x:c r="L32" s="73"/>
      <x:c r="M32" s="73"/>
      <x:c r="N32" s="73"/>
      <x:c r="O32" s="73"/>
    </x:row>
    <x:row r="33" ht="22" customHeight="1">
      <x:c r="C33" s="109" t="str">
        <x:v>opex growth - active</x:v>
      </x:c>
      <x:c r="D33" s="112" t="n">
        <x:f>IF(CHOOSE($D$4,ISNUMBER(D34),ISNUMBER(D35),ISNUMBER(D36)),CHOOSE($D$4,D34,D35,D36),NA())</x:f>
        <x:v>0.08</x:v>
      </x:c>
      <x:c r="E33" s="112" t="n">
        <x:f>IF(CHOOSE($D$4,ISNUMBER(E34),ISNUMBER(E35),ISNUMBER(E36)),CHOOSE($D$4,E34,E35,E36),NA())</x:f>
        <x:v>0.08</x:v>
      </x:c>
      <x:c r="F33" s="112" t="n">
        <x:f>IF(CHOOSE($D$4,ISNUMBER(F34),ISNUMBER(F35),ISNUMBER(F36)),CHOOSE($D$4,F34,F35,F36),NA())</x:f>
        <x:v>0.12</x:v>
      </x:c>
      <x:c r="G33" s="112" t="n">
        <x:f>IF(CHOOSE($D$4,ISNUMBER(G34),ISNUMBER(G35),ISNUMBER(G36)),CHOOSE($D$4,G34,G35,G36),NA())</x:f>
        <x:v>0.12</x:v>
      </x:c>
      <x:c r="H33" s="112" t="n">
        <x:f>IF(CHOOSE($D$4,ISNUMBER(H34),ISNUMBER(H35),ISNUMBER(H36)),CHOOSE($D$4,H34,H35,H36),NA())</x:f>
        <x:v>0.12</x:v>
      </x:c>
      <x:c r="I33" s="112" t="n">
        <x:f>IF(CHOOSE($D$4,ISNUMBER(I34),ISNUMBER(I35),ISNUMBER(I36)),CHOOSE($D$4,I34,I35,I36),NA())</x:f>
        <x:v>0.12</x:v>
      </x:c>
      <x:c r="J33" s="112" t="n">
        <x:f>IF(CHOOSE($D$4,ISNUMBER(J34),ISNUMBER(J35),ISNUMBER(J36)),CHOOSE($D$4,J34,J35,J36),NA())</x:f>
        <x:v>0.12</x:v>
      </x:c>
      <x:c r="K33" s="112" t="n">
        <x:f>IF(CHOOSE($D$4,ISNUMBER(K34),ISNUMBER(K35),ISNUMBER(K36)),CHOOSE($D$4,K34,K35,K36),NA())</x:f>
        <x:v>0.12</x:v>
      </x:c>
      <x:c r="L33" s="112" t="n">
        <x:f>IF(CHOOSE($D$4,ISNUMBER(L34),ISNUMBER(L35),ISNUMBER(L36)),CHOOSE($D$4,L34,L35,L36),NA())</x:f>
        <x:v>0.12</x:v>
      </x:c>
      <x:c r="M33" s="112" t="n">
        <x:f>IF(CHOOSE($D$4,ISNUMBER(M34),ISNUMBER(M35),ISNUMBER(M36)),CHOOSE($D$4,M34,M35,M36),NA())</x:f>
        <x:v>0.1</x:v>
      </x:c>
      <x:c r="N33" s="112" t="n">
        <x:f>IF(CHOOSE($D$4,ISNUMBER(N34),ISNUMBER(N35),ISNUMBER(N36)),CHOOSE($D$4,N34,N35,N36),NA())</x:f>
        <x:v>0.08</x:v>
      </x:c>
      <x:c r="O33" s="112" t="n">
        <x:f>IF(CHOOSE($D$4,ISNUMBER(O34),ISNUMBER(O35),ISNUMBER(O36)),CHOOSE($D$4,O34,O35,O36),NA())</x:f>
        <x:v>0.08</x:v>
      </x:c>
    </x:row>
    <x:row r="34" ht="22" customHeight="1">
      <x:c r="C34" s="84" t="str">
        <x:v>Downside</x:v>
      </x:c>
      <x:c r="D34" s="114" t="n">
        <x:v>0.08</x:v>
      </x:c>
      <x:c r="E34" s="114" t="n">
        <x:v>0.08</x:v>
      </x:c>
      <x:c r="F34" s="114" t="n">
        <x:v>0.1</x:v>
      </x:c>
      <x:c r="G34" s="114" t="n">
        <x:v>0.1</x:v>
      </x:c>
      <x:c r="H34" s="114" t="n">
        <x:v>0.1</x:v>
      </x:c>
      <x:c r="I34" s="114" t="n">
        <x:v>0.1</x:v>
      </x:c>
      <x:c r="J34" s="114" t="n">
        <x:v>0.08</x:v>
      </x:c>
      <x:c r="K34" s="114" t="n">
        <x:v>0.08</x:v>
      </x:c>
      <x:c r="L34" s="114" t="n">
        <x:v>0.08</x:v>
      </x:c>
      <x:c r="M34" s="114" t="n">
        <x:v>0.06</x:v>
      </x:c>
      <x:c r="N34" s="114" t="n">
        <x:v>0.06</x:v>
      </x:c>
      <x:c r="O34" s="114" t="n">
        <x:v>0.06</x:v>
      </x:c>
    </x:row>
    <x:row r="35" ht="22" customHeight="1">
      <x:c r="C35" s="84" t="str">
        <x:v>Base</x:v>
      </x:c>
      <x:c r="D35" s="114" t="n">
        <x:v>0.08</x:v>
      </x:c>
      <x:c r="E35" s="114" t="n">
        <x:v>0.08</x:v>
      </x:c>
      <x:c r="F35" s="114" t="n">
        <x:v>0.12</x:v>
      </x:c>
      <x:c r="G35" s="114" t="n">
        <x:v>0.12</x:v>
      </x:c>
      <x:c r="H35" s="114" t="n">
        <x:v>0.12</x:v>
      </x:c>
      <x:c r="I35" s="114" t="n">
        <x:v>0.12</x:v>
      </x:c>
      <x:c r="J35" s="114" t="n">
        <x:v>0.12</x:v>
      </x:c>
      <x:c r="K35" s="114" t="n">
        <x:v>0.12</x:v>
      </x:c>
      <x:c r="L35" s="114" t="n">
        <x:v>0.12</x:v>
      </x:c>
      <x:c r="M35" s="114" t="n">
        <x:v>0.1</x:v>
      </x:c>
      <x:c r="N35" s="114" t="n">
        <x:v>0.08</x:v>
      </x:c>
      <x:c r="O35" s="114" t="n">
        <x:v>0.08</x:v>
      </x:c>
    </x:row>
    <x:row r="36" ht="22" customHeight="1">
      <x:c r="C36" s="84" t="str">
        <x:v>Upside</x:v>
      </x:c>
      <x:c r="D36" s="114" t="n">
        <x:v>0.1</x:v>
      </x:c>
      <x:c r="E36" s="114" t="n">
        <x:v>0.1</x:v>
      </x:c>
      <x:c r="F36" s="114" t="n">
        <x:v>0.15</x:v>
      </x:c>
      <x:c r="G36" s="114" t="n">
        <x:v>0.15</x:v>
      </x:c>
      <x:c r="H36" s="114" t="n">
        <x:v>0.15</x:v>
      </x:c>
      <x:c r="I36" s="114" t="n">
        <x:v>0.15</x:v>
      </x:c>
      <x:c r="J36" s="114" t="n">
        <x:v>0.15</x:v>
      </x:c>
      <x:c r="K36" s="114" t="n">
        <x:v>0.15</x:v>
      </x:c>
      <x:c r="L36" s="114" t="n">
        <x:v>0.15</x:v>
      </x:c>
      <x:c r="M36" s="114" t="n">
        <x:v>0.12</x:v>
      </x:c>
      <x:c r="N36" s="114" t="n">
        <x:v>0.1</x:v>
      </x:c>
      <x:c r="O36" s="114" t="n">
        <x:v>0.1</x:v>
      </x:c>
    </x:row>
    <x:row r="37" ht="22" customHeight="1">
      <x:c r="C37" s="69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</x:row>
    <x:row r="38" ht="22" customHeight="1">
      <x:c r="C38" s="109" t="str">
        <x:v>annual expensed sbc - active</x:v>
      </x:c>
      <x:c r="D38" s="117" t="n">
        <x:f>IF(AND(CHOOSE($D$4,ISNUMBER(D39),ISNUMBER(D40),ISNUMBER(D41)),CHOOSE($D$4,D39,D40,D41)&gt;=0),CHOOSE($D$4,D39,D40,D41),NA())</x:f>
        <x:v>214.4</x:v>
      </x:c>
      <x:c r="E38" s="117" t="n">
        <x:f>IF(AND(CHOOSE($D$4,ISNUMBER(E39),ISNUMBER(E40),ISNUMBER(E41)),CHOOSE($D$4,E39,E40,E41)&gt;=0),CHOOSE($D$4,E39,E40,E41),NA())</x:f>
        <x:v>214.4</x:v>
      </x:c>
      <x:c r="F38" s="117" t="n">
        <x:f>IF(AND(CHOOSE($D$4,ISNUMBER(F39),ISNUMBER(F40),ISNUMBER(F41)),CHOOSE($D$4,F39,F40,F41)&gt;=0),CHOOSE($D$4,F39,F40,F41),NA())</x:f>
        <x:v>236</x:v>
      </x:c>
      <x:c r="G38" s="117" t="n">
        <x:f>IF(AND(CHOOSE($D$4,ISNUMBER(G39),ISNUMBER(G40),ISNUMBER(G41)),CHOOSE($D$4,G39,G40,G41)&gt;=0),CHOOSE($D$4,G39,G40,G41),NA())</x:f>
        <x:v>236</x:v>
      </x:c>
      <x:c r="H38" s="117" t="n">
        <x:f>IF(AND(CHOOSE($D$4,ISNUMBER(H39),ISNUMBER(H40),ISNUMBER(H41)),CHOOSE($D$4,H39,H40,H41)&gt;=0),CHOOSE($D$4,H39,H40,H41),NA())</x:f>
        <x:v>236</x:v>
      </x:c>
      <x:c r="I38" s="117" t="n">
        <x:f>IF(AND(CHOOSE($D$4,ISNUMBER(I39),ISNUMBER(I40),ISNUMBER(I41)),CHOOSE($D$4,I39,I40,I41)&gt;=0),CHOOSE($D$4,I39,I40,I41),NA())</x:f>
        <x:v>236</x:v>
      </x:c>
      <x:c r="J38" s="117" t="n">
        <x:f>IF(AND(CHOOSE($D$4,ISNUMBER(J39),ISNUMBER(J40),ISNUMBER(J41)),CHOOSE($D$4,J39,J40,J41)&gt;=0),CHOOSE($D$4,J39,J40,J41),NA())</x:f>
        <x:v>260</x:v>
      </x:c>
      <x:c r="K38" s="117" t="n">
        <x:f>IF(AND(CHOOSE($D$4,ISNUMBER(K39),ISNUMBER(K40),ISNUMBER(K41)),CHOOSE($D$4,K39,K40,K41)&gt;=0),CHOOSE($D$4,K39,K40,K41),NA())</x:f>
        <x:v>260</x:v>
      </x:c>
      <x:c r="L38" s="117" t="n">
        <x:f>IF(AND(CHOOSE($D$4,ISNUMBER(L39),ISNUMBER(L40),ISNUMBER(L41)),CHOOSE($D$4,L39,L40,L41)&gt;=0),CHOOSE($D$4,L39,L40,L41),NA())</x:f>
        <x:v>260</x:v>
      </x:c>
      <x:c r="M38" s="117" t="n">
        <x:f>IF(AND(CHOOSE($D$4,ISNUMBER(M39),ISNUMBER(M40),ISNUMBER(M41)),CHOOSE($D$4,M39,M40,M41)&gt;=0),CHOOSE($D$4,M39,M40,M41),NA())</x:f>
        <x:v>285</x:v>
      </x:c>
      <x:c r="N38" s="117" t="n">
        <x:f>IF(AND(CHOOSE($D$4,ISNUMBER(N39),ISNUMBER(N40),ISNUMBER(N41)),CHOOSE($D$4,N39,N40,N41)&gt;=0),CHOOSE($D$4,N39,N40,N41),NA())</x:f>
        <x:v>310</x:v>
      </x:c>
      <x:c r="O38" s="117" t="n">
        <x:f>IF(AND(CHOOSE($D$4,ISNUMBER(O39),ISNUMBER(O40),ISNUMBER(O41)),CHOOSE($D$4,O39,O40,O41)&gt;=0),CHOOSE($D$4,O39,O40,O41),NA())</x:f>
        <x:v>335</x:v>
      </x:c>
    </x:row>
    <x:row r="39" ht="22" customHeight="1">
      <x:c r="C39" s="84" t="str">
        <x:v>Downside</x:v>
      </x:c>
      <x:c r="D39" s="119" t="n">
        <x:v>214.4</x:v>
      </x:c>
      <x:c r="E39" s="119" t="n">
        <x:v>214.4</x:v>
      </x:c>
      <x:c r="F39" s="119" t="n">
        <x:v>225</x:v>
      </x:c>
      <x:c r="G39" s="119" t="n">
        <x:v>225</x:v>
      </x:c>
      <x:c r="H39" s="119" t="n">
        <x:v>225</x:v>
      </x:c>
      <x:c r="I39" s="119" t="n">
        <x:v>225</x:v>
      </x:c>
      <x:c r="J39" s="119" t="n">
        <x:v>235</x:v>
      </x:c>
      <x:c r="K39" s="119" t="n">
        <x:v>235</x:v>
      </x:c>
      <x:c r="L39" s="119" t="n">
        <x:v>235</x:v>
      </x:c>
      <x:c r="M39" s="119" t="n">
        <x:v>245</x:v>
      </x:c>
      <x:c r="N39" s="119" t="n">
        <x:v>255</x:v>
      </x:c>
      <x:c r="O39" s="119" t="n">
        <x:v>265</x:v>
      </x:c>
    </x:row>
    <x:row r="40" ht="22" customHeight="1">
      <x:c r="C40" s="84" t="str">
        <x:v>Base</x:v>
      </x:c>
      <x:c r="D40" s="119" t="n">
        <x:v>214.4</x:v>
      </x:c>
      <x:c r="E40" s="119" t="n">
        <x:v>214.4</x:v>
      </x:c>
      <x:c r="F40" s="119" t="n">
        <x:v>236</x:v>
      </x:c>
      <x:c r="G40" s="119" t="n">
        <x:v>236</x:v>
      </x:c>
      <x:c r="H40" s="119" t="n">
        <x:v>236</x:v>
      </x:c>
      <x:c r="I40" s="119" t="n">
        <x:v>236</x:v>
      </x:c>
      <x:c r="J40" s="119" t="n">
        <x:v>260</x:v>
      </x:c>
      <x:c r="K40" s="119" t="n">
        <x:v>260</x:v>
      </x:c>
      <x:c r="L40" s="119" t="n">
        <x:v>260</x:v>
      </x:c>
      <x:c r="M40" s="119" t="n">
        <x:v>285</x:v>
      </x:c>
      <x:c r="N40" s="119" t="n">
        <x:v>310</x:v>
      </x:c>
      <x:c r="O40" s="119" t="n">
        <x:v>335</x:v>
      </x:c>
    </x:row>
    <x:row r="41" ht="22" customHeight="1">
      <x:c r="C41" s="84" t="str">
        <x:v>Upside</x:v>
      </x:c>
      <x:c r="D41" s="119" t="n">
        <x:v>214.4</x:v>
      </x:c>
      <x:c r="E41" s="119" t="n">
        <x:v>214.4</x:v>
      </x:c>
      <x:c r="F41" s="119" t="n">
        <x:v>255</x:v>
      </x:c>
      <x:c r="G41" s="119" t="n">
        <x:v>255</x:v>
      </x:c>
      <x:c r="H41" s="119" t="n">
        <x:v>255</x:v>
      </x:c>
      <x:c r="I41" s="119" t="n">
        <x:v>255</x:v>
      </x:c>
      <x:c r="J41" s="119" t="n">
        <x:v>300</x:v>
      </x:c>
      <x:c r="K41" s="119" t="n">
        <x:v>300</x:v>
      </x:c>
      <x:c r="L41" s="119" t="n">
        <x:v>300</x:v>
      </x:c>
      <x:c r="M41" s="119" t="n">
        <x:v>350</x:v>
      </x:c>
      <x:c r="N41" s="119" t="n">
        <x:v>400</x:v>
      </x:c>
      <x:c r="O41" s="119" t="n">
        <x:v>450</x:v>
      </x:c>
    </x:row>
    <x:row r="42" ht="22" customHeight="1">
      <x:c r="C42" s="69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</x:row>
    <x:row r="43" ht="22" customHeight="1">
      <x:c r="C43" s="109" t="str">
        <x:v>software capex to rldc - active</x:v>
      </x:c>
      <x:c r="D43" s="112" t="n">
        <x:f>IF(AND(CHOOSE($D$4,ISNUMBER(D44),ISNUMBER(D45),ISNUMBER(D46)),CHOOSE($D$4,D44,D45,D46)&gt;=0),CHOOSE($D$4,D44,D45,D46),NA())</x:f>
        <x:v>0.062</x:v>
      </x:c>
      <x:c r="E43" s="112" t="n">
        <x:f>IF(AND(CHOOSE($D$4,ISNUMBER(E44),ISNUMBER(E45),ISNUMBER(E46)),CHOOSE($D$4,E44,E45,E46)&gt;=0),CHOOSE($D$4,E44,E45,E46),NA())</x:f>
        <x:v>0.062</x:v>
      </x:c>
      <x:c r="F43" s="112" t="n">
        <x:f>IF(AND(CHOOSE($D$4,ISNUMBER(F44),ISNUMBER(F45),ISNUMBER(F46)),CHOOSE($D$4,F44,F45,F46)&gt;=0),CHOOSE($D$4,F44,F45,F46),NA())</x:f>
        <x:v>0.062</x:v>
      </x:c>
      <x:c r="G43" s="112" t="n">
        <x:f>IF(AND(CHOOSE($D$4,ISNUMBER(G44),ISNUMBER(G45),ISNUMBER(G46)),CHOOSE($D$4,G44,G45,G46)&gt;=0),CHOOSE($D$4,G44,G45,G46),NA())</x:f>
        <x:v>0.062</x:v>
      </x:c>
      <x:c r="H43" s="112" t="n">
        <x:f>IF(AND(CHOOSE($D$4,ISNUMBER(H44),ISNUMBER(H45),ISNUMBER(H46)),CHOOSE($D$4,H44,H45,H46)&gt;=0),CHOOSE($D$4,H44,H45,H46),NA())</x:f>
        <x:v>0.062</x:v>
      </x:c>
      <x:c r="I43" s="112" t="n">
        <x:f>IF(AND(CHOOSE($D$4,ISNUMBER(I44),ISNUMBER(I45),ISNUMBER(I46)),CHOOSE($D$4,I44,I45,I46)&gt;=0),CHOOSE($D$4,I44,I45,I46),NA())</x:f>
        <x:v>0.062</x:v>
      </x:c>
      <x:c r="J43" s="112" t="n">
        <x:f>IF(AND(CHOOSE($D$4,ISNUMBER(J44),ISNUMBER(J45),ISNUMBER(J46)),CHOOSE($D$4,J44,J45,J46)&gt;=0),CHOOSE($D$4,J44,J45,J46),NA())</x:f>
        <x:v>0.06</x:v>
      </x:c>
      <x:c r="K43" s="112" t="n">
        <x:f>IF(AND(CHOOSE($D$4,ISNUMBER(K44),ISNUMBER(K45),ISNUMBER(K46)),CHOOSE($D$4,K44,K45,K46)&gt;=0),CHOOSE($D$4,K44,K45,K46),NA())</x:f>
        <x:v>0.06</x:v>
      </x:c>
      <x:c r="L43" s="112" t="n">
        <x:f>IF(AND(CHOOSE($D$4,ISNUMBER(L44),ISNUMBER(L45),ISNUMBER(L46)),CHOOSE($D$4,L44,L45,L46)&gt;=0),CHOOSE($D$4,L44,L45,L46),NA())</x:f>
        <x:v>0.06</x:v>
      </x:c>
      <x:c r="M43" s="112" t="n">
        <x:f>IF(AND(CHOOSE($D$4,ISNUMBER(M44),ISNUMBER(M45),ISNUMBER(M46)),CHOOSE($D$4,M44,M45,M46)&gt;=0),CHOOSE($D$4,M44,M45,M46),NA())</x:f>
        <x:v>0.058</x:v>
      </x:c>
      <x:c r="N43" s="112" t="n">
        <x:f>IF(AND(CHOOSE($D$4,ISNUMBER(N44),ISNUMBER(N45),ISNUMBER(N46)),CHOOSE($D$4,N44,N45,N46)&gt;=0),CHOOSE($D$4,N44,N45,N46),NA())</x:f>
        <x:v>0.056</x:v>
      </x:c>
      <x:c r="O43" s="112" t="n">
        <x:f>IF(AND(CHOOSE($D$4,ISNUMBER(O44),ISNUMBER(O45),ISNUMBER(O46)),CHOOSE($D$4,O44,O45,O46)&gt;=0),CHOOSE($D$4,O44,O45,O46),NA())</x:f>
        <x:v>0.055</x:v>
      </x:c>
    </x:row>
    <x:row r="44" ht="22" customHeight="1">
      <x:c r="C44" s="84" t="str">
        <x:v>Downside</x:v>
      </x:c>
      <x:c r="D44" s="114" t="n">
        <x:v>0.065</x:v>
      </x:c>
      <x:c r="E44" s="114" t="n">
        <x:v>0.065</x:v>
      </x:c>
      <x:c r="F44" s="114" t="n">
        <x:v>0.065</x:v>
      </x:c>
      <x:c r="G44" s="114" t="n">
        <x:v>0.065</x:v>
      </x:c>
      <x:c r="H44" s="114" t="n">
        <x:v>0.065</x:v>
      </x:c>
      <x:c r="I44" s="114" t="n">
        <x:v>0.065</x:v>
      </x:c>
      <x:c r="J44" s="114" t="n">
        <x:v>0.065</x:v>
      </x:c>
      <x:c r="K44" s="114" t="n">
        <x:v>0.065</x:v>
      </x:c>
      <x:c r="L44" s="114" t="n">
        <x:v>0.065</x:v>
      </x:c>
      <x:c r="M44" s="114" t="n">
        <x:v>0.065</x:v>
      </x:c>
      <x:c r="N44" s="114" t="n">
        <x:v>0.065</x:v>
      </x:c>
      <x:c r="O44" s="114" t="n">
        <x:v>0.065</x:v>
      </x:c>
    </x:row>
    <x:row r="45" ht="22" customHeight="1">
      <x:c r="C45" s="84" t="str">
        <x:v>Base</x:v>
      </x:c>
      <x:c r="D45" s="114" t="n">
        <x:v>0.062</x:v>
      </x:c>
      <x:c r="E45" s="114" t="n">
        <x:v>0.062</x:v>
      </x:c>
      <x:c r="F45" s="114" t="n">
        <x:v>0.062</x:v>
      </x:c>
      <x:c r="G45" s="114" t="n">
        <x:v>0.062</x:v>
      </x:c>
      <x:c r="H45" s="114" t="n">
        <x:v>0.062</x:v>
      </x:c>
      <x:c r="I45" s="114" t="n">
        <x:v>0.062</x:v>
      </x:c>
      <x:c r="J45" s="114" t="n">
        <x:v>0.06</x:v>
      </x:c>
      <x:c r="K45" s="114" t="n">
        <x:v>0.06</x:v>
      </x:c>
      <x:c r="L45" s="114" t="n">
        <x:v>0.06</x:v>
      </x:c>
      <x:c r="M45" s="114" t="n">
        <x:v>0.058</x:v>
      </x:c>
      <x:c r="N45" s="114" t="n">
        <x:v>0.056</x:v>
      </x:c>
      <x:c r="O45" s="114" t="n">
        <x:v>0.055</x:v>
      </x:c>
    </x:row>
    <x:row r="46" ht="22" customHeight="1">
      <x:c r="C46" s="84" t="str">
        <x:v>Upside</x:v>
      </x:c>
      <x:c r="D46" s="114" t="n">
        <x:v>0.062</x:v>
      </x:c>
      <x:c r="E46" s="114" t="n">
        <x:v>0.062</x:v>
      </x:c>
      <x:c r="F46" s="114" t="n">
        <x:v>0.062</x:v>
      </x:c>
      <x:c r="G46" s="114" t="n">
        <x:v>0.062</x:v>
      </x:c>
      <x:c r="H46" s="114" t="n">
        <x:v>0.062</x:v>
      </x:c>
      <x:c r="I46" s="114" t="n">
        <x:v>0.062</x:v>
      </x:c>
      <x:c r="J46" s="114" t="n">
        <x:v>0.06</x:v>
      </x:c>
      <x:c r="K46" s="114" t="n">
        <x:v>0.06</x:v>
      </x:c>
      <x:c r="L46" s="114" t="n">
        <x:v>0.06</x:v>
      </x:c>
      <x:c r="M46" s="114" t="n">
        <x:v>0.058</x:v>
      </x:c>
      <x:c r="N46" s="114" t="n">
        <x:v>0.056</x:v>
      </x:c>
      <x:c r="O46" s="114" t="n">
        <x:v>0.055</x:v>
      </x:c>
    </x:row>
    <x:row r="47" ht="22" customHeight="1">
      <x:c r="C47" s="69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</x:row>
    <x:row r="48" ht="22" customHeight="1">
      <x:c r="C48" s="109" t="str">
        <x:v>ppe capex to rldc - active</x:v>
      </x:c>
      <x:c r="D48" s="112" t="n">
        <x:f>IF(AND(CHOOSE($D$4,ISNUMBER(D49),ISNUMBER(D50),ISNUMBER(D51)),CHOOSE($D$4,D49,D50,D51)&gt;=0),CHOOSE($D$4,D49,D50,D51),NA())</x:f>
        <x:v>0.018</x:v>
      </x:c>
      <x:c r="E48" s="112" t="n">
        <x:f>IF(AND(CHOOSE($D$4,ISNUMBER(E49),ISNUMBER(E50),ISNUMBER(E51)),CHOOSE($D$4,E49,E50,E51)&gt;=0),CHOOSE($D$4,E49,E50,E51),NA())</x:f>
        <x:v>0.018</x:v>
      </x:c>
      <x:c r="F48" s="112" t="n">
        <x:f>IF(AND(CHOOSE($D$4,ISNUMBER(F49),ISNUMBER(F50),ISNUMBER(F51)),CHOOSE($D$4,F49,F50,F51)&gt;=0),CHOOSE($D$4,F49,F50,F51),NA())</x:f>
        <x:v>0.018</x:v>
      </x:c>
      <x:c r="G48" s="112" t="n">
        <x:f>IF(AND(CHOOSE($D$4,ISNUMBER(G49),ISNUMBER(G50),ISNUMBER(G51)),CHOOSE($D$4,G49,G50,G51)&gt;=0),CHOOSE($D$4,G49,G50,G51),NA())</x:f>
        <x:v>0.018</x:v>
      </x:c>
      <x:c r="H48" s="112" t="n">
        <x:f>IF(AND(CHOOSE($D$4,ISNUMBER(H49),ISNUMBER(H50),ISNUMBER(H51)),CHOOSE($D$4,H49,H50,H51)&gt;=0),CHOOSE($D$4,H49,H50,H51),NA())</x:f>
        <x:v>0.018</x:v>
      </x:c>
      <x:c r="I48" s="112" t="n">
        <x:f>IF(AND(CHOOSE($D$4,ISNUMBER(I49),ISNUMBER(I50),ISNUMBER(I51)),CHOOSE($D$4,I49,I50,I51)&gt;=0),CHOOSE($D$4,I49,I50,I51),NA())</x:f>
        <x:v>0.018</x:v>
      </x:c>
      <x:c r="J48" s="112" t="n">
        <x:f>IF(AND(CHOOSE($D$4,ISNUMBER(J49),ISNUMBER(J50),ISNUMBER(J51)),CHOOSE($D$4,J49,J50,J51)&gt;=0),CHOOSE($D$4,J49,J50,J51),NA())</x:f>
        <x:v>0.017</x:v>
      </x:c>
      <x:c r="K48" s="112" t="n">
        <x:f>IF(AND(CHOOSE($D$4,ISNUMBER(K49),ISNUMBER(K50),ISNUMBER(K51)),CHOOSE($D$4,K49,K50,K51)&gt;=0),CHOOSE($D$4,K49,K50,K51),NA())</x:f>
        <x:v>0.017</x:v>
      </x:c>
      <x:c r="L48" s="112" t="n">
        <x:f>IF(AND(CHOOSE($D$4,ISNUMBER(L49),ISNUMBER(L50),ISNUMBER(L51)),CHOOSE($D$4,L49,L50,L51)&gt;=0),CHOOSE($D$4,L49,L50,L51),NA())</x:f>
        <x:v>0.017</x:v>
      </x:c>
      <x:c r="M48" s="112" t="n">
        <x:f>IF(AND(CHOOSE($D$4,ISNUMBER(M49),ISNUMBER(M50),ISNUMBER(M51)),CHOOSE($D$4,M49,M50,M51)&gt;=0),CHOOSE($D$4,M49,M50,M51),NA())</x:f>
        <x:v>0.016</x:v>
      </x:c>
      <x:c r="N48" s="112" t="n">
        <x:f>IF(AND(CHOOSE($D$4,ISNUMBER(N49),ISNUMBER(N50),ISNUMBER(N51)),CHOOSE($D$4,N49,N50,N51)&gt;=0),CHOOSE($D$4,N49,N50,N51),NA())</x:f>
        <x:v>0.015</x:v>
      </x:c>
      <x:c r="O48" s="112" t="n">
        <x:f>IF(AND(CHOOSE($D$4,ISNUMBER(O49),ISNUMBER(O50),ISNUMBER(O51)),CHOOSE($D$4,O49,O50,O51)&gt;=0),CHOOSE($D$4,O49,O50,O51),NA())</x:f>
        <x:v>0.015</x:v>
      </x:c>
    </x:row>
    <x:row r="49" ht="22" customHeight="1">
      <x:c r="C49" s="84" t="str">
        <x:v>Downside</x:v>
      </x:c>
      <x:c r="D49" s="114" t="n">
        <x:v>0.018</x:v>
      </x:c>
      <x:c r="E49" s="114" t="n">
        <x:v>0.018</x:v>
      </x:c>
      <x:c r="F49" s="114" t="n">
        <x:v>0.018</x:v>
      </x:c>
      <x:c r="G49" s="114" t="n">
        <x:v>0.018</x:v>
      </x:c>
      <x:c r="H49" s="114" t="n">
        <x:v>0.018</x:v>
      </x:c>
      <x:c r="I49" s="114" t="n">
        <x:v>0.018</x:v>
      </x:c>
      <x:c r="J49" s="114" t="n">
        <x:v>0.018</x:v>
      </x:c>
      <x:c r="K49" s="114" t="n">
        <x:v>0.018</x:v>
      </x:c>
      <x:c r="L49" s="114" t="n">
        <x:v>0.018</x:v>
      </x:c>
      <x:c r="M49" s="114" t="n">
        <x:v>0.018</x:v>
      </x:c>
      <x:c r="N49" s="114" t="n">
        <x:v>0.018</x:v>
      </x:c>
      <x:c r="O49" s="114" t="n">
        <x:v>0.018</x:v>
      </x:c>
    </x:row>
    <x:row r="50" ht="22" customHeight="1">
      <x:c r="C50" s="84" t="str">
        <x:v>Base</x:v>
      </x:c>
      <x:c r="D50" s="114" t="n">
        <x:v>0.018</x:v>
      </x:c>
      <x:c r="E50" s="114" t="n">
        <x:v>0.018</x:v>
      </x:c>
      <x:c r="F50" s="114" t="n">
        <x:v>0.018</x:v>
      </x:c>
      <x:c r="G50" s="114" t="n">
        <x:v>0.018</x:v>
      </x:c>
      <x:c r="H50" s="114" t="n">
        <x:v>0.018</x:v>
      </x:c>
      <x:c r="I50" s="114" t="n">
        <x:v>0.018</x:v>
      </x:c>
      <x:c r="J50" s="114" t="n">
        <x:v>0.017</x:v>
      </x:c>
      <x:c r="K50" s="114" t="n">
        <x:v>0.017</x:v>
      </x:c>
      <x:c r="L50" s="114" t="n">
        <x:v>0.017</x:v>
      </x:c>
      <x:c r="M50" s="114" t="n">
        <x:v>0.016</x:v>
      </x:c>
      <x:c r="N50" s="114" t="n">
        <x:v>0.015</x:v>
      </x:c>
      <x:c r="O50" s="114" t="n">
        <x:v>0.015</x:v>
      </x:c>
    </x:row>
    <x:row r="51" ht="22" customHeight="1">
      <x:c r="C51" s="84" t="str">
        <x:v>Upside</x:v>
      </x:c>
      <x:c r="D51" s="114" t="n">
        <x:v>0.018</x:v>
      </x:c>
      <x:c r="E51" s="114" t="n">
        <x:v>0.018</x:v>
      </x:c>
      <x:c r="F51" s="114" t="n">
        <x:v>0.018</x:v>
      </x:c>
      <x:c r="G51" s="114" t="n">
        <x:v>0.018</x:v>
      </x:c>
      <x:c r="H51" s="114" t="n">
        <x:v>0.018</x:v>
      </x:c>
      <x:c r="I51" s="114" t="n">
        <x:v>0.018</x:v>
      </x:c>
      <x:c r="J51" s="114" t="n">
        <x:v>0.017</x:v>
      </x:c>
      <x:c r="K51" s="114" t="n">
        <x:v>0.017</x:v>
      </x:c>
      <x:c r="L51" s="114" t="n">
        <x:v>0.017</x:v>
      </x:c>
      <x:c r="M51" s="114" t="n">
        <x:v>0.016</x:v>
      </x:c>
      <x:c r="N51" s="114" t="n">
        <x:v>0.015</x:v>
      </x:c>
      <x:c r="O51" s="114" t="n">
        <x:v>0.015</x:v>
      </x:c>
    </x:row>
    <x:row r="52" ht="22" customHeight="1">
      <x:c r="C52" s="69"/>
      <x:c r="D52" s="73"/>
      <x:c r="E52" s="73"/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</x:row>
    <x:row r="53" ht="22" customHeight="1">
      <x:c r="C53" s="109" t="str">
        <x:v>service cost rate - active</x:v>
      </x:c>
      <x:c r="D53" s="112" t="n">
        <x:f>IF(CHOOSE($D$4,ISNUMBER(D54),ISNUMBER(D55),ISNUMBER(D56)),CHOOSE($D$4,D54,D55,D56),NA())</x:f>
        <x:v>0.05</x:v>
      </x:c>
      <x:c r="E53" s="112" t="n">
        <x:f>IF(CHOOSE($D$4,ISNUMBER(E54),ISNUMBER(E55),ISNUMBER(E56)),CHOOSE($D$4,E54,E55,E56),NA())</x:f>
        <x:v>0.05</x:v>
      </x:c>
      <x:c r="F53" s="112" t="n">
        <x:f>IF(CHOOSE($D$4,ISNUMBER(F54),ISNUMBER(F55),ISNUMBER(F56)),CHOOSE($D$4,F54,F55,F56),NA())</x:f>
        <x:v>0.05</x:v>
      </x:c>
      <x:c r="G53" s="112" t="n">
        <x:f>IF(CHOOSE($D$4,ISNUMBER(G54),ISNUMBER(G55),ISNUMBER(G56)),CHOOSE($D$4,G54,G55,G56),NA())</x:f>
        <x:v>0.05</x:v>
      </x:c>
      <x:c r="H53" s="112" t="n">
        <x:f>IF(CHOOSE($D$4,ISNUMBER(H54),ISNUMBER(H55),ISNUMBER(H56)),CHOOSE($D$4,H54,H55,H56),NA())</x:f>
        <x:v>0.05</x:v>
      </x:c>
      <x:c r="I53" s="112" t="n">
        <x:f>IF(CHOOSE($D$4,ISNUMBER(I54),ISNUMBER(I55),ISNUMBER(I56)),CHOOSE($D$4,I54,I55,I56),NA())</x:f>
        <x:v>0.05</x:v>
      </x:c>
      <x:c r="J53" s="112" t="n">
        <x:f>IF(CHOOSE($D$4,ISNUMBER(J54),ISNUMBER(J55),ISNUMBER(J56)),CHOOSE($D$4,J54,J55,J56),NA())</x:f>
        <x:v>0.05</x:v>
      </x:c>
      <x:c r="K53" s="112" t="n">
        <x:f>IF(CHOOSE($D$4,ISNUMBER(K54),ISNUMBER(K55),ISNUMBER(K56)),CHOOSE($D$4,K54,K55,K56),NA())</x:f>
        <x:v>0.05</x:v>
      </x:c>
      <x:c r="L53" s="112" t="n">
        <x:f>IF(CHOOSE($D$4,ISNUMBER(L54),ISNUMBER(L55),ISNUMBER(L56)),CHOOSE($D$4,L54,L55,L56),NA())</x:f>
        <x:v>0.05</x:v>
      </x:c>
      <x:c r="M53" s="112" t="n">
        <x:f>IF(CHOOSE($D$4,ISNUMBER(M54),ISNUMBER(M55),ISNUMBER(M56)),CHOOSE($D$4,M54,M55,M56),NA())</x:f>
        <x:v>0.05</x:v>
      </x:c>
      <x:c r="N53" s="112" t="n">
        <x:f>IF(CHOOSE($D$4,ISNUMBER(N54),ISNUMBER(N55),ISNUMBER(N56)),CHOOSE($D$4,N54,N55,N56),NA())</x:f>
        <x:v>0.05</x:v>
      </x:c>
      <x:c r="O53" s="112" t="n">
        <x:f>IF(CHOOSE($D$4,ISNUMBER(O54),ISNUMBER(O55),ISNUMBER(O56)),CHOOSE($D$4,O54,O55,O56),NA())</x:f>
        <x:v>0.05</x:v>
      </x:c>
    </x:row>
    <x:row r="54" ht="22" customHeight="1">
      <x:c r="C54" s="84" t="str">
        <x:v>Downside</x:v>
      </x:c>
      <x:c r="D54" s="114" t="n">
        <x:v>0.07</x:v>
      </x:c>
      <x:c r="E54" s="114" t="n">
        <x:v>0.07</x:v>
      </x:c>
      <x:c r="F54" s="114" t="n">
        <x:v>0.07</x:v>
      </x:c>
      <x:c r="G54" s="114" t="n">
        <x:v>0.07</x:v>
      </x:c>
      <x:c r="H54" s="114" t="n">
        <x:v>0.07</x:v>
      </x:c>
      <x:c r="I54" s="114" t="n">
        <x:v>0.07</x:v>
      </x:c>
      <x:c r="J54" s="114" t="n">
        <x:v>0.07</x:v>
      </x:c>
      <x:c r="K54" s="114" t="n">
        <x:v>0.07</x:v>
      </x:c>
      <x:c r="L54" s="114" t="n">
        <x:v>0.07</x:v>
      </x:c>
      <x:c r="M54" s="114" t="n">
        <x:v>0.07</x:v>
      </x:c>
      <x:c r="N54" s="114" t="n">
        <x:v>0.07</x:v>
      </x:c>
      <x:c r="O54" s="114" t="n">
        <x:v>0.07</x:v>
      </x:c>
    </x:row>
    <x:row r="55" ht="22" customHeight="1">
      <x:c r="C55" s="84" t="str">
        <x:v>Base</x:v>
      </x:c>
      <x:c r="D55" s="114" t="n">
        <x:v>0.05</x:v>
      </x:c>
      <x:c r="E55" s="114" t="n">
        <x:v>0.05</x:v>
      </x:c>
      <x:c r="F55" s="114" t="n">
        <x:v>0.05</x:v>
      </x:c>
      <x:c r="G55" s="114" t="n">
        <x:v>0.05</x:v>
      </x:c>
      <x:c r="H55" s="114" t="n">
        <x:v>0.05</x:v>
      </x:c>
      <x:c r="I55" s="114" t="n">
        <x:v>0.05</x:v>
      </x:c>
      <x:c r="J55" s="114" t="n">
        <x:v>0.05</x:v>
      </x:c>
      <x:c r="K55" s="114" t="n">
        <x:v>0.05</x:v>
      </x:c>
      <x:c r="L55" s="114" t="n">
        <x:v>0.05</x:v>
      </x:c>
      <x:c r="M55" s="114" t="n">
        <x:v>0.05</x:v>
      </x:c>
      <x:c r="N55" s="114" t="n">
        <x:v>0.05</x:v>
      </x:c>
      <x:c r="O55" s="114" t="n">
        <x:v>0.05</x:v>
      </x:c>
    </x:row>
    <x:row r="56" ht="22" customHeight="1">
      <x:c r="C56" s="84" t="str">
        <x:v>Upside</x:v>
      </x:c>
      <x:c r="D56" s="114" t="n">
        <x:v>0.04</x:v>
      </x:c>
      <x:c r="E56" s="114" t="n">
        <x:v>0.04</x:v>
      </x:c>
      <x:c r="F56" s="114" t="n">
        <x:v>0.04</x:v>
      </x:c>
      <x:c r="G56" s="114" t="n">
        <x:v>0.04</x:v>
      </x:c>
      <x:c r="H56" s="114" t="n">
        <x:v>0.04</x:v>
      </x:c>
      <x:c r="I56" s="114" t="n">
        <x:v>0.04</x:v>
      </x:c>
      <x:c r="J56" s="114" t="n">
        <x:v>0.04</x:v>
      </x:c>
      <x:c r="K56" s="114" t="n">
        <x:v>0.04</x:v>
      </x:c>
      <x:c r="L56" s="114" t="n">
        <x:v>0.04</x:v>
      </x:c>
      <x:c r="M56" s="114" t="n">
        <x:v>0.04</x:v>
      </x:c>
      <x:c r="N56" s="114" t="n">
        <x:v>0.04</x:v>
      </x:c>
      <x:c r="O56" s="114" t="n">
        <x:v>0.04</x:v>
      </x:c>
    </x:row>
    <x:row r="57" ht="22" customHeight="1">
      <x:c r="C57" s="69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</x:row>
    <x:row r="58" ht="22" customHeight="1">
      <x:c r="C58" s="69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</x:row>
    <x:row r="59" ht="22" customHeight="1">
      <x:c r="C59" s="69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</x:row>
    <x:row r="60" ht="22" customHeight="1">
      <x:c r="C60" s="69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</x:row>
    <x:row r="61" ht="22" customHeight="1">
      <x:c r="C61" s="69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</x:row>
    <x:row r="62" ht="22" customHeight="1">
      <x:c r="C62" s="69"/>
      <x:c r="D62" s="73"/>
      <x:c r="E62" s="73"/>
      <x:c r="F62" s="73"/>
      <x:c r="G62" s="73"/>
      <x:c r="H62" s="73"/>
      <x:c r="I62" s="73"/>
      <x:c r="J62" s="73"/>
      <x:c r="K62" s="73"/>
      <x:c r="L62" s="73"/>
      <x:c r="M62" s="73"/>
      <x:c r="N62" s="73"/>
      <x:c r="O62" s="73"/>
    </x:row>
    <x:row r="63" ht="22" customHeight="1">
      <x:c r="C63" s="69"/>
      <x:c r="D63" s="73"/>
      <x:c r="E63" s="73"/>
      <x:c r="F63" s="73"/>
      <x:c r="G63" s="73"/>
      <x:c r="H63" s="73"/>
      <x:c r="I63" s="73"/>
      <x:c r="J63" s="73"/>
      <x:c r="K63" s="73"/>
      <x:c r="L63" s="73"/>
      <x:c r="M63" s="73"/>
      <x:c r="N63" s="73"/>
      <x:c r="O63" s="73"/>
    </x:row>
    <x:row r="64" ht="22" customHeight="1">
      <x:c r="C64" s="69"/>
      <x:c r="D64" s="73"/>
      <x:c r="E64" s="73"/>
      <x:c r="F64" s="73"/>
      <x:c r="G64" s="73"/>
      <x:c r="H64" s="73"/>
      <x:c r="I64" s="73"/>
      <x:c r="J64" s="73"/>
      <x:c r="K64" s="73"/>
      <x:c r="L64" s="73"/>
      <x:c r="M64" s="73"/>
      <x:c r="N64" s="73"/>
      <x:c r="O64" s="73"/>
    </x:row>
    <x:row r="65" ht="22" customHeight="1">
      <x:c r="C65" s="69"/>
      <x:c r="D65" s="73"/>
      <x:c r="E65" s="73"/>
      <x:c r="F65" s="73"/>
      <x:c r="G65" s="73"/>
      <x:c r="H65" s="73"/>
      <x:c r="I65" s="73"/>
      <x:c r="J65" s="73"/>
      <x:c r="K65" s="73"/>
      <x:c r="L65" s="73"/>
      <x:c r="M65" s="73"/>
      <x:c r="N65" s="73"/>
      <x:c r="O65" s="73"/>
    </x:row>
    <x:row r="66" ht="22" customHeight="1">
      <x:c r="C66" s="69"/>
      <x:c r="D66" s="73"/>
      <x:c r="E66" s="73"/>
      <x:c r="F66" s="73"/>
      <x:c r="G66" s="73"/>
      <x:c r="H66" s="73"/>
      <x:c r="I66" s="73"/>
      <x:c r="J66" s="73"/>
      <x:c r="K66" s="73"/>
      <x:c r="L66" s="73"/>
      <x:c r="M66" s="73"/>
      <x:c r="N66" s="73"/>
      <x:c r="O66" s="73"/>
    </x:row>
    <x:row r="67" ht="22" customHeight="1">
      <x:c r="C67" s="69"/>
      <x:c r="D67" s="73"/>
      <x:c r="E67" s="73"/>
      <x:c r="F67" s="73"/>
      <x:c r="G67" s="73"/>
      <x:c r="H67" s="73"/>
      <x:c r="I67" s="73"/>
      <x:c r="J67" s="73"/>
      <x:c r="K67" s="73"/>
      <x:c r="L67" s="73"/>
      <x:c r="M67" s="73"/>
      <x:c r="N67" s="73"/>
      <x:c r="O67" s="73"/>
    </x:row>
    <x:row r="68" ht="22" customHeight="1">
      <x:c r="C68" s="69"/>
      <x:c r="D68" s="73"/>
      <x:c r="E68" s="73"/>
      <x:c r="F68" s="73"/>
      <x:c r="G68" s="73"/>
      <x:c r="H68" s="73"/>
      <x:c r="I68" s="73"/>
      <x:c r="J68" s="73"/>
      <x:c r="K68" s="73"/>
      <x:c r="L68" s="73"/>
      <x:c r="M68" s="73"/>
      <x:c r="N68" s="73"/>
      <x:c r="O68" s="73"/>
    </x:row>
    <x:row r="69" ht="22" customHeight="1">
      <x:c r="C69" s="69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</x:row>
    <x:row r="70" ht="22" customHeight="1">
      <x:c r="C70" s="69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</x:row>
    <x:row r="71" ht="22" customHeight="1">
      <x:c r="C71" s="69"/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</x:row>
    <x:row r="72" ht="22" customHeight="1">
      <x:c r="C72" s="69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</x:row>
    <x:row r="73" ht="22" customHeight="1">
      <x:c r="C73" s="69"/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</x:row>
    <x:row r="74" ht="22" customHeight="1">
      <x:c r="C74" s="69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</x:row>
    <x:row r="75" ht="22" customHeight="1">
      <x:c r="C75" s="69"/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</x:row>
    <x:row r="76" ht="22" customHeight="1">
      <x:c r="C76" s="69"/>
      <x:c r="D76" s="73"/>
      <x:c r="E76" s="73"/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</x:row>
    <x:row r="77" ht="22" customHeight="1">
      <x:c r="C77" s="84" t="str">
        <x:v>All forecast paths are analyst assumptions. Yield follows an analyst-set normalized path.</x:v>
      </x:c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</x:row>
    <x:row r="78" ht="22" customHeight="1">
      <x:c r="C78" s="69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</x:row>
    <x:row r="79" ht="22" customHeight="1">
      <x:c r="C79" s="84" t="str">
        <x:v>Capture is retained reserve income after distribution costs divided by reserve income.</x:v>
      </x:c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</x:row>
    <x:row r="80" ht="22" customHeight="1">
      <x:c r="C80" s="69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</x:row>
    <x:row r="81" ht="22" customHeight="1">
      <x:c r="C81" s="84" t="str">
        <x:v>Capital expenditure ratios use revenue less distribution costs, excluding retained yield on corporate-owned USDC.</x:v>
      </x:c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</x:row>
    <x:row r="82" ht="22" customHeight="1">
      <x:c r="C82" s="69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</x:row>
    <x:row r="83" ht="22" customHeight="1">
      <x:c r="C83" s="84" t="str">
        <x:v>Sources contains editable global controls. Valuation contains the uniform growth override and Goal Seek instructions.</x:v>
      </x:c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</x:row>
    <x:row r="84" ht="22" customHeight="1">
      <x:c r="C84" s="69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</x:row>
    <x:row r="85" ht="22" customHeight="1">
      <x:c r="C85" s="69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</x:row>
    <x:row r="86" ht="22" customHeight="1">
      <x:c r="C86" s="69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</x:row>
    <x:row r="87" ht="22" customHeight="1">
      <x:c r="C87" s="69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</x:row>
    <x:row r="88" ht="22" customHeight="1">
      <x:c r="C88" s="69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</x:row>
    <x:row r="89" ht="22" customHeight="1">
      <x:c r="C89" s="69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</x:row>
    <x:row r="90" ht="22" customHeight="1">
      <x:c r="C90" s="69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</x:row>
    <x:row r="91" ht="22" customHeight="1">
      <x:c r="C91" s="69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</x:row>
    <x:row r="92" ht="22" customHeight="1">
      <x:c r="C92" s="69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</x:row>
    <x:row r="93" ht="22" customHeight="1">
      <x:c r="C93" s="69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</x:row>
    <x:row r="94" ht="22" customHeight="1">
      <x:c r="C94" s="69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</x:row>
    <x:row r="95" ht="22" customHeight="1">
      <x:c r="C95" s="69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</x:row>
    <x:row r="96" ht="22" customHeight="1">
      <x:c r="C96" s="69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</x:row>
    <x:row r="97" ht="22" customHeight="1">
      <x:c r="C97" s="69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</x:row>
    <x:row r="98" ht="22" customHeight="1">
      <x:c r="C98" s="69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</x:row>
    <x:row r="99" ht="22" customHeight="1">
      <x:c r="C99" s="69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</x:row>
    <x:row r="100" ht="22" customHeight="1">
      <x:c r="C100" s="69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</x:row>
  </x:sheetData>
  <x:dataValidations count="1">
    <x:dataValidation type="whole" operator="between" sqref="D4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0B53BF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</x:row>
    <x:row r="2" ht="22" customHeight="1">
      <x:c r="C2" s="81" t="str">
        <x:v>Linked forecast financial statements</x:v>
      </x:c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 ht="22" customHeight="1"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</x:row>
    <x:row r="4" ht="22" customHeight="1">
      <x:c r="C4" s="84" t="str">
        <x:v>Case selected</x:v>
      </x:c>
      <x:c r="D4" s="86" t="str">
        <x:f>Assumptions!$E$4</x:f>
        <x:v>Base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ht="22" customHeight="1">
      <x:c r="C5" s="87" t="str">
        <x:v>USD M; shares M; per-share USD</x:v>
      </x:c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</x:row>
    <x:row r="6" ht="22" customHeight="1">
      <x:c r="C6" s="107"/>
      <x:c r="D6" s="107" t="str">
        <x:v>Q3:26</x:v>
      </x:c>
      <x:c r="E6" s="107" t="str">
        <x:v>Q4:26</x:v>
      </x:c>
      <x:c r="F6" s="107" t="str">
        <x:v>Q1:27</x:v>
      </x:c>
      <x:c r="G6" s="107" t="str">
        <x:v>Q2:27</x:v>
      </x:c>
      <x:c r="H6" s="107" t="str">
        <x:v>Q3:27</x:v>
      </x:c>
      <x:c r="I6" s="107" t="str">
        <x:v>Q4:27</x:v>
      </x:c>
      <x:c r="J6" s="107" t="str">
        <x:v>Q1:28</x:v>
      </x:c>
      <x:c r="K6" s="107" t="str">
        <x:v>Q2:28</x:v>
      </x:c>
      <x:c r="L6" s="107" t="str">
        <x:v>H2:28</x:v>
      </x:c>
      <x:c r="M6" s="107" t="str">
        <x:v>FY:29</x:v>
      </x:c>
      <x:c r="N6" s="107" t="str">
        <x:v>FY:30</x:v>
      </x:c>
      <x:c r="O6" s="107" t="str">
        <x:v>FY:31</x:v>
      </x:c>
    </x:row>
    <x:row r="7" ht="22" customHeight="1">
      <x:c r="C7" s="69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</x:row>
    <x:row r="8" ht="24" customHeight="1">
      <x:c r="C8" s="122" t="str">
        <x:v>Income statement</x:v>
      </x:c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4"/>
    </x:row>
    <x:row r="9" ht="22" customHeight="1">
      <x:c r="C9" s="84" t="str">
        <x:v>Reserve income</x:v>
      </x:c>
      <x:c r="D9" s="95" t="n">
        <x:f>Model!D21</x:f>
        <x:v>664.8248583097367</x:v>
      </x:c>
      <x:c r="E9" s="95" t="n">
        <x:f>Model!E21</x:f>
        <x:v>688.3544286465295</x:v>
      </x:c>
      <x:c r="F9" s="95" t="n">
        <x:f>Model!F21</x:f>
        <x:v>623.7555279462186</x:v>
      </x:c>
      <x:c r="G9" s="95" t="n">
        <x:f>Model!G21</x:f>
        <x:v>666.1410769588975</x:v>
      </x:c>
      <x:c r="H9" s="95" t="n">
        <x:f>Model!H21</x:f>
        <x:v>711.7756756952112</x:v>
      </x:c>
      <x:c r="I9" s="95" t="n">
        <x:f>Model!I21</x:f>
        <x:v>752.5160252638545</x:v>
      </x:c>
      <x:c r="J9" s="95" t="n">
        <x:f>Model!J21</x:f>
        <x:v>757.4185841326702</x:v>
      </x:c>
      <x:c r="K9" s="95" t="n">
        <x:f>Model!K21</x:f>
        <x:v>792.3031583695871</x:v>
      </x:c>
      <x:c r="L9" s="95" t="n">
        <x:f>Model!L21</x:f>
        <x:v>1716.2262685724702</x:v>
      </x:c>
      <x:c r="M9" s="95" t="n">
        <x:f>Model!M21</x:f>
        <x:v>3859.542869794576</x:v>
      </x:c>
      <x:c r="N9" s="95" t="n">
        <x:f>Model!N21</x:f>
        <x:v>4448.742199294773</x:v>
      </x:c>
      <x:c r="O9" s="95" t="n">
        <x:f>Model!O21</x:f>
        <x:v>5020.389107786734</x:v>
      </x:c>
    </x:row>
    <x:row r="10" ht="22" customHeight="1">
      <x:c r="C10" s="84" t="str">
        <x:v>Subscription and service revenue</x:v>
      </x:c>
      <x:c r="D10" s="95" t="n">
        <x:f>Model!D24</x:f>
        <x:v>29.357783178416003</x:v>
      </x:c>
      <x:c r="E10" s="95" t="n">
        <x:f>Model!E24</x:f>
        <x:v>31.364850869017175</x:v>
      </x:c>
      <x:c r="F10" s="95" t="n">
        <x:f>Model!F24</x:f>
        <x:v>33.06814861441831</x:v>
      </x:c>
      <x:c r="G10" s="95" t="n">
        <x:f>Model!G24</x:f>
        <x:v>36.34534993456048</x:v>
      </x:c>
      <x:c r="H10" s="95" t="n">
        <x:f>Model!H24</x:f>
        <x:v>39.979358708177905</x:v>
      </x:c>
      <x:c r="I10" s="95" t="n">
        <x:f>Model!I24</x:f>
        <x:v>43.51791659704939</x:v>
      </x:c>
      <x:c r="J10" s="95" t="n">
        <x:f>Model!J24</x:f>
        <x:v>46.61206757884824</x:v>
      </x:c>
      <x:c r="K10" s="95" t="n">
        <x:f>Model!K24</x:f>
        <x:v>50.23339605390996</x:v>
      </x:c>
      <x:c r="L10" s="95" t="n">
        <x:f>Model!L24</x:f>
        <x:v>113.9737327141301</x:v>
      </x:c>
      <x:c r="M10" s="95" t="n">
        <x:f>Model!M24</x:f>
        <x:v>279.63247570788394</x:v>
      </x:c>
      <x:c r="N10" s="95" t="n">
        <x:f>Model!N24</x:f>
        <x:v>355.61956149806974</x:v>
      </x:c>
      <x:c r="O10" s="95" t="n">
        <x:f>Model!O24</x:f>
        <x:v>434.64613071986304</x:v>
      </x:c>
    </x:row>
    <x:row r="11" ht="22" customHeight="1">
      <x:c r="C11" s="84" t="str">
        <x:v>Transaction revenue</x:v>
      </x:c>
      <x:c r="D11" s="95" t="n">
        <x:f>Model!D27</x:f>
        <x:v>5.529262265376561</x:v>
      </x:c>
      <x:c r="E11" s="95" t="n">
        <x:f>Model!E27</x:f>
        <x:v>5.849164337273281</x:v>
      </x:c>
      <x:c r="F11" s="95" t="n">
        <x:f>Model!F27</x:f>
        <x:v>6.0794610494405985</x:v>
      </x:c>
      <x:c r="G11" s="95" t="n">
        <x:f>Model!G27</x:f>
        <x:v>6.5602553816836355</x:v>
      </x:c>
      <x:c r="H11" s="95" t="n">
        <x:f>Model!H27</x:f>
        <x:v>7.083309099030332</x:v>
      </x:c>
      <x:c r="I11" s="95" t="n">
        <x:f>Model!I27</x:f>
        <x:v>7.567565037184998</x:v>
      </x:c>
      <x:c r="J11" s="95" t="n">
        <x:f>Model!J27</x:f>
        <x:v>7.953914323161941</x:v>
      </x:c>
      <x:c r="K11" s="95" t="n">
        <x:f>Model!K27</x:f>
        <x:v>8.408955130665374</x:v>
      </x:c>
      <x:c r="L11" s="95" t="n">
        <x:f>Model!L27</x:f>
        <x:v>18.515874707181734</x:v>
      </x:c>
      <x:c r="M11" s="95" t="n">
        <x:f>Model!M27</x:f>
        <x:v>42.6728868865504</x:v>
      </x:c>
      <x:c r="N11" s="95" t="n">
        <x:f>Model!N27</x:f>
        <x:v>50.74194186146175</x:v>
      </x:c>
      <x:c r="O11" s="95" t="n">
        <x:f>Model!O27</x:f>
        <x:v>59.0515167442791</x:v>
      </x:c>
    </x:row>
    <x:row r="12" ht="22" customHeight="1">
      <x:c r="C12" s="84" t="str">
        <x:v>Other recurring revenue</x:v>
      </x:c>
      <x:c r="D12" s="95" t="n">
        <x:f>Model!D30</x:f>
        <x:v>0.0995889638792026</x:v>
      </x:c>
      <x:c r="E12" s="95" t="n">
        <x:f>Model!E30</x:f>
        <x:v>0.10535080232237055</x:v>
      </x:c>
      <x:c r="F12" s="95" t="n">
        <x:f>Model!F30</x:f>
        <x:v>0.10949873559968057</x:v>
      </x:c>
      <x:c r="G12" s="95" t="n">
        <x:f>Model!G30</x:f>
        <x:v>0.11815844589899233</x:v>
      </x:c>
      <x:c r="H12" s="95" t="n">
        <x:f>Model!H30</x:f>
        <x:v>0.12757930084557448</x:v>
      </x:c>
      <x:c r="I12" s="95" t="n">
        <x:f>Model!I30</x:f>
        <x:v>0.13630135901871665</x:v>
      </x:c>
      <x:c r="J12" s="95" t="n">
        <x:f>Model!J30</x:f>
        <x:v>0.14325999531398617</x:v>
      </x:c>
      <x:c r="K12" s="95" t="n">
        <x:f>Model!K30</x:f>
        <x:v>0.15145585225963898</x:v>
      </x:c>
      <x:c r="L12" s="95" t="n">
        <x:f>Model!L30</x:f>
        <x:v>0.3334941785908905</x:v>
      </x:c>
      <x:c r="M12" s="95" t="n">
        <x:f>Model!M30</x:f>
        <x:v>0.7685923341667613</x:v>
      </x:c>
      <x:c r="N12" s="95" t="n">
        <x:f>Model!N30</x:f>
        <x:v>0.913926157354658</x:v>
      </x:c>
      <x:c r="O12" s="95" t="n">
        <x:f>Model!O30</x:f>
        <x:v>1.06359204642604</x:v>
      </x:c>
    </x:row>
    <x:row r="13" ht="22" customHeight="1">
      <x:c r="C13" s="109" t="str">
        <x:v>Total revenue and reserve income</x:v>
      </x:c>
      <x:c r="D13" s="127" t="n">
        <x:f>Model!D34</x:f>
        <x:v>699.8114927174084</x:v>
      </x:c>
      <x:c r="E13" s="127" t="n">
        <x:f>Model!E34</x:f>
        <x:v>725.6737946551424</x:v>
      </x:c>
      <x:c r="F13" s="127" t="n">
        <x:f>Model!F34</x:f>
        <x:v>663.0126363456773</x:v>
      </x:c>
      <x:c r="G13" s="127" t="n">
        <x:f>Model!G34</x:f>
        <x:v>709.1648407210406</x:v>
      </x:c>
      <x:c r="H13" s="127" t="n">
        <x:f>Model!H34</x:f>
        <x:v>758.965922803265</x:v>
      </x:c>
      <x:c r="I13" s="127" t="n">
        <x:f>Model!I34</x:f>
        <x:v>803.7378082571076</x:v>
      </x:c>
      <x:c r="J13" s="127" t="n">
        <x:f>Model!J34</x:f>
        <x:v>812.1278260299944</x:v>
      </x:c>
      <x:c r="K13" s="127" t="n">
        <x:f>Model!K34</x:f>
        <x:v>851.0969654064221</x:v>
      </x:c>
      <x:c r="L13" s="127" t="n">
        <x:f>Model!L34</x:f>
        <x:v>1849.0493701723728</x:v>
      </x:c>
      <x:c r="M13" s="127" t="n">
        <x:f>Model!M34</x:f>
        <x:v>4182.616824723177</x:v>
      </x:c>
      <x:c r="N13" s="127" t="n">
        <x:f>Model!N34</x:f>
        <x:v>4856.017628811659</x:v>
      </x:c>
      <x:c r="O13" s="127" t="n">
        <x:f>Model!O34</x:f>
        <x:v>5515.150347297302</x:v>
      </x:c>
    </x:row>
    <x:row r="14" ht="22" customHeight="1">
      <x:c r="C14" s="84" t="str">
        <x:v>Distribution and transaction costs</x:v>
      </x:c>
      <x:c r="D14" s="95" t="n">
        <x:f>Model!D32</x:f>
        <x:v>408.6266864146161</x:v>
      </x:c>
      <x:c r="E14" s="95" t="n">
        <x:f>Model!E32</x:f>
        <x:v>423.08885677317966</x:v>
      </x:c>
      <x:c r="F14" s="95" t="n">
        <x:f>Model!F32</x:f>
        <x:v>377.37209440746227</x:v>
      </x:c>
      <x:c r="G14" s="95" t="n">
        <x:f>Model!G32</x:f>
        <x:v>403.015351560133</x:v>
      </x:c>
      <x:c r="H14" s="95" t="n">
        <x:f>Model!H32</x:f>
        <x:v>430.62428379560276</x:v>
      </x:c>
      <x:c r="I14" s="95" t="n">
        <x:f>Model!I32</x:f>
        <x:v>455.272195284632</x:v>
      </x:c>
      <x:c r="J14" s="95" t="n">
        <x:f>Model!J32</x:f>
        <x:v>450.66405755893874</x:v>
      </x:c>
      <x:c r="K14" s="95" t="n">
        <x:f>Model!K32</x:f>
        <x:v>471.4203792299043</x:v>
      </x:c>
      <x:c r="L14" s="95" t="n">
        <x:f>Model!L32</x:f>
        <x:v>1021.1546298006198</x:v>
      </x:c>
      <x:c r="M14" s="95" t="n">
        <x:f>Model!M32</x:f>
        <x:v>2257.8325788298266</x:v>
      </x:c>
      <x:c r="N14" s="95" t="n">
        <x:f>Model!N32</x:f>
        <x:v>2580.2704755909685</x:v>
      </x:c>
      <x:c r="O14" s="95" t="n">
        <x:f>Model!O32</x:f>
        <x:v>2886.7237369773716</x:v>
      </x:c>
    </x:row>
    <x:row r="15" ht="22" customHeight="1">
      <x:c r="C15" s="84" t="str">
        <x:v>Other service costs</x:v>
      </x:c>
      <x:c r="D15" s="95" t="n">
        <x:f>Model!D33</x:f>
        <x:v>1.7493317203835883</x:v>
      </x:c>
      <x:c r="E15" s="95" t="n">
        <x:f>Model!E33</x:f>
        <x:v>1.8659683004306413</x:v>
      </x:c>
      <x:c r="F15" s="95" t="n">
        <x:f>Model!F33</x:f>
        <x:v>1.9628554199729296</x:v>
      </x:c>
      <x:c r="G15" s="95" t="n">
        <x:f>Model!G33</x:f>
        <x:v>2.1511881881071555</x:v>
      </x:c>
      <x:c r="H15" s="95" t="n">
        <x:f>Model!H33</x:f>
        <x:v>2.3595123554026904</x:v>
      </x:c>
      <x:c r="I15" s="95" t="n">
        <x:f>Model!I33</x:f>
        <x:v>2.5610891496626556</x:v>
      </x:c>
      <x:c r="J15" s="95" t="n">
        <x:f>Model!J33</x:f>
        <x:v>2.7354620948662083</x:v>
      </x:c>
      <x:c r="K15" s="95" t="n">
        <x:f>Model!K33</x:f>
        <x:v>2.939690351841749</x:v>
      </x:c>
      <x:c r="L15" s="95" t="n">
        <x:f>Model!L33</x:f>
        <x:v>6.641155079995136</x:v>
      </x:c>
      <x:c r="M15" s="95" t="n">
        <x:f>Model!M33</x:f>
        <x:v>16.153697746430055</x:v>
      </x:c>
      <x:c r="N15" s="95" t="n">
        <x:f>Model!N33</x:f>
        <x:v>20.363771475844306</x:v>
      </x:c>
      <x:c r="O15" s="95" t="n">
        <x:f>Model!O33</x:f>
        <x:v>24.73806197552841</x:v>
      </x:c>
    </x:row>
    <x:row r="16" ht="22" customHeight="1">
      <x:c r="C16" s="109" t="str">
        <x:v>Revenue less distribution costs</x:v>
      </x:c>
      <x:c r="D16" s="127" t="n">
        <x:f>Model!D35</x:f>
        <x:v>289.4354745824088</x:v>
      </x:c>
      <x:c r="E16" s="127" t="n">
        <x:f>Model!E35</x:f>
        <x:v>300.71896958153206</x:v>
      </x:c>
      <x:c r="F16" s="127" t="n">
        <x:f>Model!F35</x:f>
        <x:v>283.67768651824207</x:v>
      </x:c>
      <x:c r="G16" s="127" t="n">
        <x:f>Model!G35</x:f>
        <x:v>303.99830097280045</x:v>
      </x:c>
      <x:c r="H16" s="127" t="n">
        <x:f>Model!H35</x:f>
        <x:v>325.9821266522596</x:v>
      </x:c>
      <x:c r="I16" s="127" t="n">
        <x:f>Model!I35</x:f>
        <x:v>345.90452382281296</x:v>
      </x:c>
      <x:c r="J16" s="127" t="n">
        <x:f>Model!J35</x:f>
        <x:v>358.72830637618944</x:v>
      </x:c>
      <x:c r="K16" s="127" t="n">
        <x:f>Model!K35</x:f>
        <x:v>376.736895824676</x:v>
      </x:c>
      <x:c r="L16" s="127" t="n">
        <x:f>Model!L35</x:f>
        <x:v>821.253585291758</x:v>
      </x:c>
      <x:c r="M16" s="127" t="n">
        <x:f>Model!M35</x:f>
        <x:v>1908.6305481469205</x:v>
      </x:c>
      <x:c r="N16" s="127" t="n">
        <x:f>Model!N35</x:f>
        <x:v>2255.3833817448462</x:v>
      </x:c>
      <x:c r="O16" s="127" t="n">
        <x:f>Model!O35</x:f>
        <x:v>2603.6885483444016</x:v>
      </x:c>
    </x:row>
    <x:row r="17" ht="22" customHeight="1">
      <x:c r="C17" s="84" t="str">
        <x:v>Operating expense excluding SBC and D&amp;A</x:v>
      </x:c>
      <x:c r="D17" s="95" t="n">
        <x:f>Model!D41</x:f>
        <x:v>174.0838180313046</x:v>
      </x:c>
      <x:c r="E17" s="95" t="n">
        <x:f>Model!E41</x:f>
        <x:v>177.4937319725755</x:v>
      </x:c>
      <x:c r="F17" s="95" t="n">
        <x:f>Model!F41</x:f>
        <x:v>177.80335408538195</x:v>
      </x:c>
      <x:c r="G17" s="95" t="n">
        <x:f>Model!G41</x:f>
        <x:v>184.90265707356988</x:v>
      </x:c>
      <x:c r="H17" s="95" t="n">
        <x:f>Model!H41</x:f>
        <x:v>192.32190909403278</x:v>
      </x:c>
      <x:c r="I17" s="95" t="n">
        <x:f>Model!I41</x:f>
        <x:v>197.8948079302769</x:v>
      </x:c>
      <x:c r="J17" s="95" t="n">
        <x:f>Model!J41</x:f>
        <x:v>201.3841210917858</x:v>
      </x:c>
      <x:c r="K17" s="95" t="n">
        <x:f>Model!K41</x:f>
        <x:v>207.15528548927776</x:v>
      </x:c>
      <x:c r="L17" s="95" t="n">
        <x:f>Model!L41</x:f>
        <x:v>437.2676093929094</x:v>
      </x:c>
      <x:c r="M17" s="95" t="n">
        <x:f>Model!M41</x:f>
        <x:v>936.785430295618</x:v>
      </x:c>
      <x:c r="N17" s="95" t="n">
        <x:f>Model!N41</x:f>
        <x:v>1020.6500307220829</x:v>
      </x:c>
      <x:c r="O17" s="95" t="n">
        <x:f>Model!O41</x:f>
        <x:v>1102.3020331798496</x:v>
      </x:c>
    </x:row>
    <x:row r="18" ht="22" customHeight="1">
      <x:c r="C18" s="84" t="str">
        <x:v>Expensed stock compensation</x:v>
      </x:c>
      <x:c r="D18" s="95" t="n">
        <x:f>Model!D42</x:f>
        <x:v>54.04054794520548</x:v>
      </x:c>
      <x:c r="E18" s="95" t="n">
        <x:f>Model!E42</x:f>
        <x:v>54.04054794520548</x:v>
      </x:c>
      <x:c r="F18" s="95" t="n">
        <x:f>Model!F42</x:f>
        <x:v>58.1917808219178</x:v>
      </x:c>
      <x:c r="G18" s="95" t="n">
        <x:f>Model!G42</x:f>
        <x:v>58.83835616438356</x:v>
      </x:c>
      <x:c r="H18" s="95" t="n">
        <x:f>Model!H42</x:f>
        <x:v>59.48493150684932</x:v>
      </x:c>
      <x:c r="I18" s="95" t="n">
        <x:f>Model!I42</x:f>
        <x:v>59.48493150684932</x:v>
      </x:c>
      <x:c r="J18" s="95" t="n">
        <x:f>Model!J42</x:f>
        <x:v>64.82191780821918</x:v>
      </x:c>
      <x:c r="K18" s="95" t="n">
        <x:f>Model!K42</x:f>
        <x:v>64.82191780821918</x:v>
      </x:c>
      <x:c r="L18" s="95" t="n">
        <x:f>Model!L42</x:f>
        <x:v>131.06849315068493</x:v>
      </x:c>
      <x:c r="M18" s="95" t="n">
        <x:f>Model!M42</x:f>
        <x:v>285</x:v>
      </x:c>
      <x:c r="N18" s="95" t="n">
        <x:f>Model!N42</x:f>
        <x:v>310</x:v>
      </x:c>
      <x:c r="O18" s="95" t="n">
        <x:f>Model!O42</x:f>
        <x:v>335</x:v>
      </x:c>
    </x:row>
    <x:row r="19" ht="22" customHeight="1">
      <x:c r="C19" s="84" t="str">
        <x:v>Acquisition employee incentive expense</x:v>
      </x:c>
      <x:c r="D19" s="95" t="n">
        <x:f>Model!D68</x:f>
        <x:v>0</x:v>
      </x:c>
      <x:c r="E19" s="95" t="n">
        <x:f>Model!E68</x:f>
        <x:v>0</x:v>
      </x:c>
      <x:c r="F19" s="95" t="n">
        <x:f>Model!F68</x:f>
        <x:v>0</x:v>
      </x:c>
      <x:c r="G19" s="95" t="n">
        <x:f>Model!G68</x:f>
        <x:v>0</x:v>
      </x:c>
      <x:c r="H19" s="95" t="n">
        <x:f>Model!H68</x:f>
        <x:v>1.5742642026009583</x:v>
      </x:c>
      <x:c r="I19" s="95" t="n">
        <x:f>Model!I68</x:f>
        <x:v>1.5742642026009583</x:v>
      </x:c>
      <x:c r="J19" s="95" t="n">
        <x:f>Model!J68</x:f>
        <x:v>1.5571526351813827</x:v>
      </x:c>
      <x:c r="K19" s="95" t="n">
        <x:f>Model!K68</x:f>
        <x:v>1.5571526351813827</x:v>
      </x:c>
      <x:c r="L19" s="95" t="n">
        <x:f>Model!L68</x:f>
        <x:v>3.1485284052019167</x:v>
      </x:c>
      <x:c r="M19" s="95" t="n">
        <x:f>Model!M68</x:f>
        <x:v>6.245722108145106</x:v>
      </x:c>
      <x:c r="N19" s="95" t="n">
        <x:f>Model!N68</x:f>
        <x:v>6.245722108145106</x:v>
      </x:c>
      <x:c r="O19" s="95" t="n">
        <x:f>Model!O68</x:f>
        <x:v>3.0971937029431897</x:v>
      </x:c>
    </x:row>
    <x:row r="20" ht="22" customHeight="1">
      <x:c r="C20" s="84" t="str">
        <x:v>Total depreciation and amortization</x:v>
      </x:c>
      <x:c r="D20" s="95" t="n">
        <x:f>Model!D60</x:f>
        <x:v>33.12096535986316</x:v>
      </x:c>
      <x:c r="E20" s="95" t="n">
        <x:f>Model!E60</x:f>
        <x:v>35.90686700931833</x:v>
      </x:c>
      <x:c r="F20" s="95" t="n">
        <x:f>Model!F60</x:f>
        <x:v>28.61654956765219</x:v>
      </x:c>
      <x:c r="G20" s="95" t="n">
        <x:f>Model!G60</x:f>
        <x:v>31.76645203261088</x:v>
      </x:c>
      <x:c r="H20" s="95" t="n">
        <x:f>Model!H60</x:f>
        <x:v>35.1197498462584</x:v>
      </x:c>
      <x:c r="I20" s="95" t="n">
        <x:f>Model!I60</x:f>
        <x:v>38.25801445218096</x:v>
      </x:c>
      <x:c r="J20" s="95" t="n">
        <x:f>Model!J60</x:f>
        <x:v>24.045306050575846</x:v>
      </x:c>
      <x:c r="K20" s="95" t="n">
        <x:f>Model!K60</x:f>
        <x:v>27.360859599575164</x:v>
      </x:c>
      <x:c r="L20" s="95" t="n">
        <x:f>Model!L60</x:f>
        <x:v>65.96411795043412</x:v>
      </x:c>
      <x:c r="M20" s="95" t="n">
        <x:f>Model!M60</x:f>
        <x:v>157.48579468855365</x:v>
      </x:c>
      <x:c r="N20" s="95" t="n">
        <x:f>Model!N60</x:f>
        <x:v>188.86949472827285</x:v>
      </x:c>
      <x:c r="O20" s="95" t="n">
        <x:f>Model!O60</x:f>
        <x:v>217.3862202857345</x:v>
      </x:c>
    </x:row>
    <x:row r="21" ht="22" customHeight="1">
      <x:c r="C21" s="84" t="str">
        <x:v>CFO transition expense assumption</x:v>
      </x:c>
      <x:c r="D21" s="95" t="n">
        <x:f>Model!D71</x:f>
        <x:v>0</x:v>
      </x:c>
      <x:c r="E21" s="95" t="n">
        <x:f>Model!E71</x:f>
        <x:v>1.05</x:v>
      </x:c>
      <x:c r="F21" s="95" t="n">
        <x:f>Model!F71</x:f>
        <x:v>0</x:v>
      </x:c>
      <x:c r="G21" s="95" t="n">
        <x:f>Model!G71</x:f>
        <x:v>0</x:v>
      </x:c>
      <x:c r="H21" s="95" t="n">
        <x:f>Model!H71</x:f>
        <x:v>0</x:v>
      </x:c>
      <x:c r="I21" s="95" t="n">
        <x:f>Model!I71</x:f>
        <x:v>0</x:v>
      </x:c>
      <x:c r="J21" s="95" t="n">
        <x:f>Model!J71</x:f>
        <x:v>0</x:v>
      </x:c>
      <x:c r="K21" s="95" t="n">
        <x:f>Model!K71</x:f>
        <x:v>0</x:v>
      </x:c>
      <x:c r="L21" s="95" t="n">
        <x:f>Model!L71</x:f>
        <x:v>0</x:v>
      </x:c>
      <x:c r="M21" s="95" t="n">
        <x:f>Model!M71</x:f>
        <x:v>0</x:v>
      </x:c>
      <x:c r="N21" s="95" t="n">
        <x:f>Model!N71</x:f>
        <x:v>0</x:v>
      </x:c>
      <x:c r="O21" s="95" t="n">
        <x:f>Model!O71</x:f>
        <x:v>0</x:v>
      </x:c>
    </x:row>
    <x:row r="22" ht="22" customHeight="1">
      <x:c r="C22" s="109" t="str">
        <x:v>Operating income</x:v>
      </x:c>
      <x:c r="D22" s="127" t="n">
        <x:f>Model!D72</x:f>
        <x:v>28.190143246035568</x:v>
      </x:c>
      <x:c r="E22" s="127" t="n">
        <x:f>Model!E72</x:f>
        <x:v>32.22782265443277</x:v>
      </x:c>
      <x:c r="F22" s="127" t="n">
        <x:f>Model!F72</x:f>
        <x:v>19.066002043290123</x:v>
      </x:c>
      <x:c r="G22" s="127" t="n">
        <x:f>Model!G72</x:f>
        <x:v>28.490835702236126</x:v>
      </x:c>
      <x:c r="H22" s="127" t="n">
        <x:f>Model!H72</x:f>
        <x:v>37.481272002518125</x:v>
      </x:c>
      <x:c r="I22" s="127" t="n">
        <x:f>Model!I72</x:f>
        <x:v>48.69250573090483</x:v>
      </x:c>
      <x:c r="J22" s="127" t="n">
        <x:f>Model!J72</x:f>
        <x:v>66.91980879042723</x:v>
      </x:c>
      <x:c r="K22" s="127" t="n">
        <x:f>Model!K72</x:f>
        <x:v>75.84168029242254</x:v>
      </x:c>
      <x:c r="L22" s="127" t="n">
        <x:f>Model!L72</x:f>
        <x:v>183.80483639252765</x:v>
      </x:c>
      <x:c r="M22" s="127" t="n">
        <x:f>Model!M72</x:f>
        <x:v>523.1136010546038</x:v>
      </x:c>
      <x:c r="N22" s="127" t="n">
        <x:f>Model!N72</x:f>
        <x:v>729.6181341863455</x:v>
      </x:c>
      <x:c r="O22" s="127" t="n">
        <x:f>Model!O72</x:f>
        <x:v>945.9031011758743</x:v>
      </x:c>
    </x:row>
    <x:row r="23" ht="22" customHeight="1">
      <x:c r="C23" s="84" t="str">
        <x:v>Interest on corporate bank cash</x:v>
      </x:c>
      <x:c r="D23" s="95" t="n">
        <x:f>Model!D73</x:f>
        <x:v>15.263029369863016</x:v>
      </x:c>
      <x:c r="E23" s="95" t="n">
        <x:f>Model!E73</x:f>
        <x:v>16.657490495419072</x:v>
      </x:c>
      <x:c r="F23" s="95" t="n">
        <x:f>Model!F73</x:f>
        <x:v>14.886954265528535</x:v>
      </x:c>
      <x:c r="G23" s="95" t="n">
        <x:f>Model!G73</x:f>
        <x:v>15.489626130853202</x:v>
      </x:c>
      <x:c r="H23" s="95" t="n">
        <x:f>Model!H73</x:f>
        <x:v>16.063958769902612</x:v>
      </x:c>
      <x:c r="I23" s="95" t="n">
        <x:f>Model!I73</x:f>
        <x:v>16.544006899431636</x:v>
      </x:c>
      <x:c r="J23" s="95" t="n">
        <x:f>Model!J73</x:f>
        <x:v>16.36648665998073</x:v>
      </x:c>
      <x:c r="K23" s="95" t="n">
        <x:f>Model!K73</x:f>
        <x:v>16.95710948274627</x:v>
      </x:c>
      <x:c r="L23" s="95" t="n">
        <x:f>Model!L73</x:f>
        <x:v>32.17308483452513</x:v>
      </x:c>
      <x:c r="M23" s="95" t="n">
        <x:f>Model!M73</x:f>
        <x:v>69.63638489685839</x:v>
      </x:c>
      <x:c r="N23" s="95" t="n">
        <x:f>Model!N73</x:f>
        <x:v>86.2534837859884</x:v>
      </x:c>
      <x:c r="O23" s="95" t="n">
        <x:f>Model!O73</x:f>
        <x:v>110.04291898152896</x:v>
      </x:c>
    </x:row>
    <x:row r="24" ht="22" customHeight="1">
      <x:c r="C24" s="84" t="str">
        <x:v>Pretax income</x:v>
      </x:c>
      <x:c r="D24" s="95" t="n">
        <x:f>Model!D74</x:f>
        <x:v>43.45317261589858</x:v>
      </x:c>
      <x:c r="E24" s="95" t="n">
        <x:f>Model!E74</x:f>
        <x:v>48.88531314985184</x:v>
      </x:c>
      <x:c r="F24" s="95" t="n">
        <x:f>Model!F74</x:f>
        <x:v>33.952956308818656</x:v>
      </x:c>
      <x:c r="G24" s="95" t="n">
        <x:f>Model!G74</x:f>
        <x:v>43.98046183308933</x:v>
      </x:c>
      <x:c r="H24" s="95" t="n">
        <x:f>Model!H74</x:f>
        <x:v>53.54523077242074</x:v>
      </x:c>
      <x:c r="I24" s="95" t="n">
        <x:f>Model!I74</x:f>
        <x:v>65.23651263033646</x:v>
      </x:c>
      <x:c r="J24" s="95" t="n">
        <x:f>Model!J74</x:f>
        <x:v>83.28629545040795</x:v>
      </x:c>
      <x:c r="K24" s="95" t="n">
        <x:f>Model!K74</x:f>
        <x:v>92.79878977516881</x:v>
      </x:c>
      <x:c r="L24" s="95" t="n">
        <x:f>Model!L74</x:f>
        <x:v>215.97792122705278</x:v>
      </x:c>
      <x:c r="M24" s="95" t="n">
        <x:f>Model!M74</x:f>
        <x:v>592.7499859514622</x:v>
      </x:c>
      <x:c r="N24" s="95" t="n">
        <x:f>Model!N74</x:f>
        <x:v>815.8716179723339</x:v>
      </x:c>
      <x:c r="O24" s="95" t="n">
        <x:f>Model!O74</x:f>
        <x:v>1055.9460201574034</x:v>
      </x:c>
    </x:row>
    <x:row r="25" ht="22" customHeight="1">
      <x:c r="C25" s="84" t="str">
        <x:v>Income tax expense</x:v>
      </x:c>
      <x:c r="D25" s="95" t="n">
        <x:f>Model!D75</x:f>
        <x:v>10.863293153974645</x:v>
      </x:c>
      <x:c r="E25" s="95" t="n">
        <x:f>Model!E75</x:f>
        <x:v>12.22132828746296</x:v>
      </x:c>
      <x:c r="F25" s="95" t="n">
        <x:f>Model!F75</x:f>
        <x:v>8.488239077204664</x:v>
      </x:c>
      <x:c r="G25" s="95" t="n">
        <x:f>Model!G75</x:f>
        <x:v>10.995115458272332</x:v>
      </x:c>
      <x:c r="H25" s="95" t="n">
        <x:f>Model!H75</x:f>
        <x:v>13.386307693105184</x:v>
      </x:c>
      <x:c r="I25" s="95" t="n">
        <x:f>Model!I75</x:f>
        <x:v>16.309128157584116</x:v>
      </x:c>
      <x:c r="J25" s="95" t="n">
        <x:f>Model!J75</x:f>
        <x:v>20.821573862601987</x:v>
      </x:c>
      <x:c r="K25" s="95" t="n">
        <x:f>Model!K75</x:f>
        <x:v>23.199697443792203</x:v>
      </x:c>
      <x:c r="L25" s="95" t="n">
        <x:f>Model!L75</x:f>
        <x:v>53.994480306763194</x:v>
      </x:c>
      <x:c r="M25" s="95" t="n">
        <x:f>Model!M75</x:f>
        <x:v>148.18749648786556</x:v>
      </x:c>
      <x:c r="N25" s="95" t="n">
        <x:f>Model!N75</x:f>
        <x:v>203.96790449308347</x:v>
      </x:c>
      <x:c r="O25" s="95" t="n">
        <x:f>Model!O75</x:f>
        <x:v>263.98650503935085</x:v>
      </x:c>
    </x:row>
    <x:row r="26" ht="22" customHeight="1">
      <x:c r="C26" s="109" t="str">
        <x:v>Net income</x:v>
      </x:c>
      <x:c r="D26" s="127" t="n">
        <x:f>Model!D76</x:f>
        <x:v>32.589879461923935</x:v>
      </x:c>
      <x:c r="E26" s="127" t="n">
        <x:f>Model!E76</x:f>
        <x:v>36.66398486238888</x:v>
      </x:c>
      <x:c r="F26" s="127" t="n">
        <x:f>Model!F76</x:f>
        <x:v>25.464717231613992</x:v>
      </x:c>
      <x:c r="G26" s="127" t="n">
        <x:f>Model!G76</x:f>
        <x:v>32.985346374817</x:v>
      </x:c>
      <x:c r="H26" s="127" t="n">
        <x:f>Model!H76</x:f>
        <x:v>40.15892307931556</x:v>
      </x:c>
      <x:c r="I26" s="127" t="n">
        <x:f>Model!I76</x:f>
        <x:v>48.92738447275235</x:v>
      </x:c>
      <x:c r="J26" s="127" t="n">
        <x:f>Model!J76</x:f>
        <x:v>62.46472158780596</x:v>
      </x:c>
      <x:c r="K26" s="127" t="n">
        <x:f>Model!K76</x:f>
        <x:v>69.59909233137661</x:v>
      </x:c>
      <x:c r="L26" s="127" t="n">
        <x:f>Model!L76</x:f>
        <x:v>161.98344092028958</x:v>
      </x:c>
      <x:c r="M26" s="127" t="n">
        <x:f>Model!M76</x:f>
        <x:v>444.56248946359665</x:v>
      </x:c>
      <x:c r="N26" s="127" t="n">
        <x:f>Model!N76</x:f>
        <x:v>611.9037134792504</x:v>
      </x:c>
      <x:c r="O26" s="127" t="n">
        <x:f>Model!O76</x:f>
        <x:v>791.9595151180525</x:v>
      </x:c>
    </x:row>
    <x:row r="27" ht="22" customHeight="1">
      <x:c r="C27" s="84" t="str">
        <x:v>EPS per mean opening/closing modeled shares</x:v>
      </x:c>
      <x:c r="D27" s="91" t="n">
        <x:f>Model!D136</x:f>
        <x:v>0.12816735134449533</x:v>
      </x:c>
      <x:c r="E27" s="91" t="n">
        <x:f>Model!E136</x:f>
        <x:v>0.14303209980890355</x:v>
      </x:c>
      <x:c r="F27" s="91" t="n">
        <x:f>Model!F136</x:f>
        <x:v>0.09893298881001052</x:v>
      </x:c>
      <x:c r="G27" s="91" t="n">
        <x:f>Model!G136</x:f>
        <x:v>0.12654631435128308</x:v>
      </x:c>
      <x:c r="H27" s="91" t="n">
        <x:f>Model!H136</x:f>
        <x:v>0.15215462737334765</x:v>
      </x:c>
      <x:c r="I27" s="91" t="n">
        <x:f>Model!I136</x:f>
        <x:v>0.18458012468837404</x:v>
      </x:c>
      <x:c r="J27" s="91" t="n">
        <x:f>Model!J136</x:f>
        <x:v>0.2346047593552145</x:v>
      </x:c>
      <x:c r="K27" s="91" t="n">
        <x:f>Model!K136</x:f>
        <x:v>0.2601874389349142</x:v>
      </x:c>
      <x:c r="L27" s="91" t="n">
        <x:f>Model!L136</x:f>
        <x:v>0.6013135591405384</x:v>
      </x:c>
      <x:c r="M27" s="91" t="n">
        <x:f>Model!M136</x:f>
        <x:v>1.6293285947787444</x:v>
      </x:c>
      <x:c r="N27" s="91" t="n">
        <x:f>Model!N136</x:f>
        <x:v>2.2112684662054236</x:v>
      </x:c>
      <x:c r="O27" s="91" t="n">
        <x:f>Model!O136</x:f>
        <x:v>2.82738890376175</x:v>
      </x:c>
    </x:row>
    <x:row r="28" ht="22" customHeight="1">
      <x:c r="C28" s="69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</x:row>
    <x:row r="29" ht="22" customHeight="1">
      <x:c r="C29" s="69"/>
      <x:c r="D29" s="73"/>
      <x:c r="E29" s="73"/>
      <x:c r="F29" s="73"/>
      <x:c r="G29" s="73"/>
      <x:c r="H29" s="73"/>
      <x:c r="I29" s="73"/>
      <x:c r="J29" s="73"/>
      <x:c r="K29" s="73"/>
      <x:c r="L29" s="73"/>
      <x:c r="M29" s="73"/>
      <x:c r="N29" s="73"/>
      <x:c r="O29" s="73"/>
    </x:row>
    <x:row r="30" ht="24" customHeight="1">
      <x:c r="C30" s="122" t="str">
        <x:v>Corporate cash flow</x:v>
      </x:c>
      <x:c r="D30" s="124"/>
      <x:c r="E30" s="124"/>
      <x:c r="F30" s="124"/>
      <x:c r="G30" s="124"/>
      <x:c r="H30" s="124"/>
      <x:c r="I30" s="124"/>
      <x:c r="J30" s="124"/>
      <x:c r="K30" s="124"/>
      <x:c r="L30" s="124"/>
      <x:c r="M30" s="124"/>
      <x:c r="N30" s="124"/>
      <x:c r="O30" s="124"/>
    </x:row>
    <x:row r="31" ht="22" customHeight="1">
      <x:c r="C31" s="109" t="str">
        <x:v>Net income</x:v>
      </x:c>
      <x:c r="D31" s="127" t="n">
        <x:f>Model!D76</x:f>
        <x:v>32.589879461923935</x:v>
      </x:c>
      <x:c r="E31" s="127" t="n">
        <x:f>Model!E76</x:f>
        <x:v>36.66398486238888</x:v>
      </x:c>
      <x:c r="F31" s="127" t="n">
        <x:f>Model!F76</x:f>
        <x:v>25.464717231613992</x:v>
      </x:c>
      <x:c r="G31" s="127" t="n">
        <x:f>Model!G76</x:f>
        <x:v>32.985346374817</x:v>
      </x:c>
      <x:c r="H31" s="127" t="n">
        <x:f>Model!H76</x:f>
        <x:v>40.15892307931556</x:v>
      </x:c>
      <x:c r="I31" s="127" t="n">
        <x:f>Model!I76</x:f>
        <x:v>48.92738447275235</x:v>
      </x:c>
      <x:c r="J31" s="127" t="n">
        <x:f>Model!J76</x:f>
        <x:v>62.46472158780596</x:v>
      </x:c>
      <x:c r="K31" s="127" t="n">
        <x:f>Model!K76</x:f>
        <x:v>69.59909233137661</x:v>
      </x:c>
      <x:c r="L31" s="127" t="n">
        <x:f>Model!L76</x:f>
        <x:v>161.98344092028958</x:v>
      </x:c>
      <x:c r="M31" s="127" t="n">
        <x:f>Model!M76</x:f>
        <x:v>444.56248946359665</x:v>
      </x:c>
      <x:c r="N31" s="127" t="n">
        <x:f>Model!N76</x:f>
        <x:v>611.9037134792504</x:v>
      </x:c>
      <x:c r="O31" s="127" t="n">
        <x:f>Model!O76</x:f>
        <x:v>791.9595151180525</x:v>
      </x:c>
    </x:row>
    <x:row r="32" ht="22" customHeight="1">
      <x:c r="C32" s="84" t="str">
        <x:v>Total depreciation and amortization</x:v>
      </x:c>
      <x:c r="D32" s="95" t="n">
        <x:f>Model!D60</x:f>
        <x:v>33.12096535986316</x:v>
      </x:c>
      <x:c r="E32" s="95" t="n">
        <x:f>Model!E60</x:f>
        <x:v>35.90686700931833</x:v>
      </x:c>
      <x:c r="F32" s="95" t="n">
        <x:f>Model!F60</x:f>
        <x:v>28.61654956765219</x:v>
      </x:c>
      <x:c r="G32" s="95" t="n">
        <x:f>Model!G60</x:f>
        <x:v>31.76645203261088</x:v>
      </x:c>
      <x:c r="H32" s="95" t="n">
        <x:f>Model!H60</x:f>
        <x:v>35.1197498462584</x:v>
      </x:c>
      <x:c r="I32" s="95" t="n">
        <x:f>Model!I60</x:f>
        <x:v>38.25801445218096</x:v>
      </x:c>
      <x:c r="J32" s="95" t="n">
        <x:f>Model!J60</x:f>
        <x:v>24.045306050575846</x:v>
      </x:c>
      <x:c r="K32" s="95" t="n">
        <x:f>Model!K60</x:f>
        <x:v>27.360859599575164</x:v>
      </x:c>
      <x:c r="L32" s="95" t="n">
        <x:f>Model!L60</x:f>
        <x:v>65.96411795043412</x:v>
      </x:c>
      <x:c r="M32" s="95" t="n">
        <x:f>Model!M60</x:f>
        <x:v>157.48579468855365</x:v>
      </x:c>
      <x:c r="N32" s="95" t="n">
        <x:f>Model!N60</x:f>
        <x:v>188.86949472827285</x:v>
      </x:c>
      <x:c r="O32" s="95" t="n">
        <x:f>Model!O60</x:f>
        <x:v>217.3862202857345</x:v>
      </x:c>
    </x:row>
    <x:row r="33" ht="22" customHeight="1">
      <x:c r="C33" s="84" t="str">
        <x:v>Expensed stock compensation</x:v>
      </x:c>
      <x:c r="D33" s="95" t="n">
        <x:f>Model!D42</x:f>
        <x:v>54.04054794520548</x:v>
      </x:c>
      <x:c r="E33" s="95" t="n">
        <x:f>Model!E42</x:f>
        <x:v>54.04054794520548</x:v>
      </x:c>
      <x:c r="F33" s="95" t="n">
        <x:f>Model!F42</x:f>
        <x:v>58.1917808219178</x:v>
      </x:c>
      <x:c r="G33" s="95" t="n">
        <x:f>Model!G42</x:f>
        <x:v>58.83835616438356</x:v>
      </x:c>
      <x:c r="H33" s="95" t="n">
        <x:f>Model!H42</x:f>
        <x:v>59.48493150684932</x:v>
      </x:c>
      <x:c r="I33" s="95" t="n">
        <x:f>Model!I42</x:f>
        <x:v>59.48493150684932</x:v>
      </x:c>
      <x:c r="J33" s="95" t="n">
        <x:f>Model!J42</x:f>
        <x:v>64.82191780821918</x:v>
      </x:c>
      <x:c r="K33" s="95" t="n">
        <x:f>Model!K42</x:f>
        <x:v>64.82191780821918</x:v>
      </x:c>
      <x:c r="L33" s="95" t="n">
        <x:f>Model!L42</x:f>
        <x:v>131.06849315068493</x:v>
      </x:c>
      <x:c r="M33" s="95" t="n">
        <x:f>Model!M42</x:f>
        <x:v>285</x:v>
      </x:c>
      <x:c r="N33" s="95" t="n">
        <x:f>Model!N42</x:f>
        <x:v>310</x:v>
      </x:c>
      <x:c r="O33" s="95" t="n">
        <x:f>Model!O42</x:f>
        <x:v>335</x:v>
      </x:c>
    </x:row>
    <x:row r="34" ht="22" customHeight="1">
      <x:c r="C34" s="84" t="str">
        <x:v>Acquisition employee incentive expense</x:v>
      </x:c>
      <x:c r="D34" s="95" t="n">
        <x:f>Model!D68</x:f>
        <x:v>0</x:v>
      </x:c>
      <x:c r="E34" s="95" t="n">
        <x:f>Model!E68</x:f>
        <x:v>0</x:v>
      </x:c>
      <x:c r="F34" s="95" t="n">
        <x:f>Model!F68</x:f>
        <x:v>0</x:v>
      </x:c>
      <x:c r="G34" s="95" t="n">
        <x:f>Model!G68</x:f>
        <x:v>0</x:v>
      </x:c>
      <x:c r="H34" s="95" t="n">
        <x:f>Model!H68</x:f>
        <x:v>1.5742642026009583</x:v>
      </x:c>
      <x:c r="I34" s="95" t="n">
        <x:f>Model!I68</x:f>
        <x:v>1.5742642026009583</x:v>
      </x:c>
      <x:c r="J34" s="95" t="n">
        <x:f>Model!J68</x:f>
        <x:v>1.5571526351813827</x:v>
      </x:c>
      <x:c r="K34" s="95" t="n">
        <x:f>Model!K68</x:f>
        <x:v>1.5571526351813827</x:v>
      </x:c>
      <x:c r="L34" s="95" t="n">
        <x:f>Model!L68</x:f>
        <x:v>3.1485284052019167</x:v>
      </x:c>
      <x:c r="M34" s="95" t="n">
        <x:f>Model!M68</x:f>
        <x:v>6.245722108145106</x:v>
      </x:c>
      <x:c r="N34" s="95" t="n">
        <x:f>Model!N68</x:f>
        <x:v>6.245722108145106</x:v>
      </x:c>
      <x:c r="O34" s="95" t="n">
        <x:f>Model!O68</x:f>
        <x:v>3.0971937029431897</x:v>
      </x:c>
    </x:row>
    <x:row r="35" ht="22" customHeight="1">
      <x:c r="C35" s="84" t="str">
        <x:v>Change in core working capital</x:v>
      </x:c>
      <x:c r="D35" s="95" t="n">
        <x:f>Model!D85</x:f>
        <x:v>1.3375772495033402</x:v>
      </x:c>
      <x:c r="E35" s="95" t="n">
        <x:f>Model!E85</x:f>
        <x:v>5.7088004154880565</x:v>
      </x:c>
      <x:c r="F35" s="95" t="n">
        <x:f>Model!F85</x:f>
        <x:v>-5.516573431486236</x:v>
      </x:c>
      <x:c r="G35" s="95" t="n">
        <x:f>Model!G85</x:f>
        <x:v>8.502766374002462</x:v>
      </x:c>
      <x:c r="H35" s="95" t="n">
        <x:f>Model!H85</x:f>
        <x:v>9.344972293813676</x:v>
      </x:c>
      <x:c r="I35" s="95" t="n">
        <x:f>Model!I85</x:f>
        <x:v>10.1882001874012</x:v>
      </x:c>
      <x:c r="J35" s="95" t="n">
        <x:f>Model!J85</x:f>
        <x:v>3.7785859311254484</x:v>
      </x:c>
      <x:c r="K35" s="95" t="n">
        <x:f>Model!K85</x:f>
        <x:v>9.567693942379435</x:v>
      </x:c>
      <x:c r="L35" s="95" t="n">
        <x:f>Model!L85</x:f>
        <x:v>18.986556454948683</x:v>
      </x:c>
      <x:c r="M35" s="95" t="n">
        <x:f>Model!M85</x:f>
        <x:v>39.17244601659951</x:v>
      </x:c>
      <x:c r="N35" s="95" t="n">
        <x:f>Model!N85</x:f>
        <x:v>47.46902218058035</x:v>
      </x:c>
      <x:c r="O35" s="95" t="n">
        <x:f>Model!O85</x:f>
        <x:v>46.37984311099086</x:v>
      </x:c>
    </x:row>
    <x:row r="36" ht="22" customHeight="1">
      <x:c r="C36" s="84" t="str">
        <x:v>Conditional ARC cash repayment</x:v>
      </x:c>
      <x:c r="D36" s="95" t="n">
        <x:f>Model!D77</x:f>
        <x:v>0</x:v>
      </x:c>
      <x:c r="E36" s="95" t="n">
        <x:f>Model!E77</x:f>
        <x:v>0</x:v>
      </x:c>
      <x:c r="F36" s="95" t="n">
        <x:f>Model!F77</x:f>
        <x:v>0</x:v>
      </x:c>
      <x:c r="G36" s="95" t="n">
        <x:f>Model!G77</x:f>
        <x:v>0</x:v>
      </x:c>
      <x:c r="H36" s="95" t="n">
        <x:f>Model!H77</x:f>
        <x:v>0</x:v>
      </x:c>
      <x:c r="I36" s="95" t="n">
        <x:f>Model!I77</x:f>
        <x:v>0</x:v>
      </x:c>
      <x:c r="J36" s="95" t="n">
        <x:f>Model!J77</x:f>
        <x:v>0</x:v>
      </x:c>
      <x:c r="K36" s="95" t="n">
        <x:f>Model!K77</x:f>
        <x:v>222</x:v>
      </x:c>
      <x:c r="L36" s="95" t="n">
        <x:f>Model!L77</x:f>
        <x:v>0</x:v>
      </x:c>
      <x:c r="M36" s="95" t="n">
        <x:f>Model!M77</x:f>
        <x:v>0</x:v>
      </x:c>
      <x:c r="N36" s="95" t="n">
        <x:f>Model!N77</x:f>
        <x:v>0</x:v>
      </x:c>
      <x:c r="O36" s="95" t="n">
        <x:f>Model!O77</x:f>
        <x:v>0</x:v>
      </x:c>
    </x:row>
    <x:row r="37" ht="22" customHeight="1">
      <x:c r="C37" s="109" t="str">
        <x:v>Corporate cash from operations</x:v>
      </x:c>
      <x:c r="D37" s="127" t="n">
        <x:f>Model!D86</x:f>
        <x:v>118.44506249660468</x:v>
      </x:c>
      <x:c r="E37" s="127" t="n">
        <x:f>Model!E86</x:f>
        <x:v>120.90259940142464</x:v>
      </x:c>
      <x:c r="F37" s="127" t="n">
        <x:f>Model!F86</x:f>
        <x:v>117.88940821724334</x:v>
      </x:c>
      <x:c r="G37" s="127" t="n">
        <x:f>Model!G86</x:f>
        <x:v>115.08738819780898</x:v>
      </x:c>
      <x:c r="H37" s="127" t="n">
        <x:f>Model!H86</x:f>
        <x:v>126.99289634121058</x:v>
      </x:c>
      <x:c r="I37" s="127" t="n">
        <x:f>Model!I86</x:f>
        <x:v>138.0563944469824</x:v>
      </x:c>
      <x:c r="J37" s="127" t="n">
        <x:f>Model!J86</x:f>
        <x:v>149.1230984415994</x:v>
      </x:c>
      <x:c r="K37" s="127" t="n">
        <x:f>Model!K86</x:f>
        <x:v>-68.2286715680271</x:v>
      </x:c>
      <x:c r="L37" s="127" t="n">
        <x:f>Model!L86</x:f>
        <x:v>343.1780239716619</x:v>
      </x:c>
      <x:c r="M37" s="127" t="n">
        <x:f>Model!M86</x:f>
        <x:v>854.1043663465903</x:v>
      </x:c>
      <x:c r="N37" s="127" t="n">
        <x:f>Model!N86</x:f>
        <x:v>1069.5413111865355</x:v>
      </x:c>
      <x:c r="O37" s="127" t="n">
        <x:f>Model!O86</x:f>
        <x:v>1301.0544890471867</x:v>
      </x:c>
    </x:row>
    <x:row r="38" ht="22" customHeight="1">
      <x:c r="C38" s="84" t="str">
        <x:v>Cash software capital expenditure</x:v>
      </x:c>
      <x:c r="D38" s="95" t="n">
        <x:f>Model!D49</x:f>
        <x:v>17.757553009540388</x:v>
      </x:c>
      <x:c r="E38" s="95" t="n">
        <x:f>Model!E49</x:f>
        <x:v>18.457129699486032</x:v>
      </x:c>
      <x:c r="F38" s="95" t="n">
        <x:f>Model!F49</x:f>
        <x:v>17.421539737752653</x:v>
      </x:c>
      <x:c r="G38" s="95" t="n">
        <x:f>Model!G49</x:f>
        <x:v>18.679568091419956</x:v>
      </x:c>
      <x:c r="H38" s="95" t="n">
        <x:f>Model!H49</x:f>
        <x:v>20.04071554103111</x:v>
      </x:c>
      <x:c r="I38" s="95" t="n">
        <x:f>Model!I49</x:f>
        <x:v>21.275904165605418</x:v>
      </x:c>
      <x:c r="J38" s="95" t="n">
        <x:f>Model!J49</x:f>
        <x:v>21.362065499204242</x:v>
      </x:c>
      <x:c r="K38" s="95" t="n">
        <x:f>Model!K49</x:f>
        <x:v>22.44258086611344</x:v>
      </x:c>
      <x:c r="L38" s="95" t="n">
        <x:f>Model!L49</x:f>
        <x:v>48.94839697970822</x:v>
      </x:c>
      <x:c r="M38" s="95" t="n">
        <x:f>Model!M49</x:f>
        <x:v>110.0584003194214</x:v>
      </x:c>
      <x:c r="N38" s="95" t="n">
        <x:f>Model!N49</x:f>
        <x:v>125.6739715361114</x:v>
      </x:c>
      <x:c r="O38" s="95" t="n">
        <x:f>Model!O49</x:f>
        <x:v>142.5792408201921</x:v>
      </x:c>
    </x:row>
    <x:row r="39" ht="22" customHeight="1">
      <x:c r="C39" s="84" t="str">
        <x:v>Cash PPE capital expenditure</x:v>
      </x:c>
      <x:c r="D39" s="95" t="n">
        <x:f>Model!D50</x:f>
        <x:v>5.155418615673016</x:v>
      </x:c>
      <x:c r="E39" s="95" t="n">
        <x:f>Model!E50</x:f>
        <x:v>5.358521525657234</x:v>
      </x:c>
      <x:c r="F39" s="95" t="n">
        <x:f>Model!F50</x:f>
        <x:v>5.057866375476576</x:v>
      </x:c>
      <x:c r="G39" s="95" t="n">
        <x:f>Model!G50</x:f>
        <x:v>5.423100413638052</x:v>
      </x:c>
      <x:c r="H39" s="95" t="n">
        <x:f>Model!H50</x:f>
        <x:v>5.8182722538477405</x:v>
      </x:c>
      <x:c r="I39" s="95" t="n">
        <x:f>Model!I50</x:f>
        <x:v>6.176875402917702</x:v>
      </x:c>
      <x:c r="J39" s="95" t="n">
        <x:f>Model!J50</x:f>
        <x:v>6.052585224774536</x:v>
      </x:c>
      <x:c r="K39" s="95" t="n">
        <x:f>Model!K50</x:f>
        <x:v>6.3587312453988085</x:v>
      </x:c>
      <x:c r="L39" s="95" t="n">
        <x:f>Model!L50</x:f>
        <x:v>13.868712477583998</x:v>
      </x:c>
      <x:c r="M39" s="95" t="n">
        <x:f>Model!M50</x:f>
        <x:v>30.36093801915073</x:v>
      </x:c>
      <x:c r="N39" s="95" t="n">
        <x:f>Model!N50</x:f>
        <x:v>33.66267094717269</x:v>
      </x:c>
      <x:c r="O39" s="95" t="n">
        <x:f>Model!O50</x:f>
        <x:v>38.88524749641602</x:v>
      </x:c>
    </x:row>
    <x:row r="40" ht="22" customHeight="1">
      <x:c r="C40" s="109" t="str">
        <x:v>Corporate cash used in investing</x:v>
      </x:c>
      <x:c r="D40" s="127" t="n">
        <x:f>Model!D87</x:f>
        <x:v>-22.9129716252134</x:v>
      </x:c>
      <x:c r="E40" s="127" t="n">
        <x:f>Model!E87</x:f>
        <x:v>-23.815651225143267</x:v>
      </x:c>
      <x:c r="F40" s="127" t="n">
        <x:f>Model!F87</x:f>
        <x:v>-22.479406113229228</x:v>
      </x:c>
      <x:c r="G40" s="127" t="n">
        <x:f>Model!G87</x:f>
        <x:v>-24.102668505058006</x:v>
      </x:c>
      <x:c r="H40" s="127" t="n">
        <x:f>Model!H87</x:f>
        <x:v>-25.85898779487885</x:v>
      </x:c>
      <x:c r="I40" s="127" t="n">
        <x:f>Model!I87</x:f>
        <x:v>-27.45277956852312</x:v>
      </x:c>
      <x:c r="J40" s="127" t="n">
        <x:f>Model!J87</x:f>
        <x:v>-27.414650723978777</x:v>
      </x:c>
      <x:c r="K40" s="127" t="n">
        <x:f>Model!K87</x:f>
        <x:v>-28.801312111512246</x:v>
      </x:c>
      <x:c r="L40" s="127" t="n">
        <x:f>Model!L87</x:f>
        <x:v>-62.81710945729222</x:v>
      </x:c>
      <x:c r="M40" s="127" t="n">
        <x:f>Model!M87</x:f>
        <x:v>-140.41933833857212</x:v>
      </x:c>
      <x:c r="N40" s="127" t="n">
        <x:f>Model!N87</x:f>
        <x:v>-159.3366424832841</x:v>
      </x:c>
      <x:c r="O40" s="127" t="n">
        <x:f>Model!O87</x:f>
        <x:v>-181.4644883166081</x:v>
      </x:c>
    </x:row>
    <x:row r="41" ht="22" customHeight="1">
      <x:c r="C41" s="84" t="str">
        <x:v>Binance financing, net fee assumption</x:v>
      </x:c>
      <x:c r="D41" s="95" t="n">
        <x:f>Model!D88</x:f>
        <x:v>100</x:v>
      </x:c>
      <x:c r="E41" s="95" t="n">
        <x:f>Model!E88</x:f>
        <x:v>0</x:v>
      </x:c>
      <x:c r="F41" s="95" t="n">
        <x:f>Model!F88</x:f>
        <x:v>0</x:v>
      </x:c>
      <x:c r="G41" s="95" t="n">
        <x:f>Model!G88</x:f>
        <x:v>0</x:v>
      </x:c>
      <x:c r="H41" s="95" t="n">
        <x:f>Model!H88</x:f>
        <x:v>0</x:v>
      </x:c>
      <x:c r="I41" s="95" t="n">
        <x:f>Model!I88</x:f>
        <x:v>0</x:v>
      </x:c>
      <x:c r="J41" s="95" t="n">
        <x:f>Model!J88</x:f>
        <x:v>0</x:v>
      </x:c>
      <x:c r="K41" s="95" t="n">
        <x:f>Model!K88</x:f>
        <x:v>0</x:v>
      </x:c>
      <x:c r="L41" s="95" t="n">
        <x:f>Model!L88</x:f>
        <x:v>0</x:v>
      </x:c>
      <x:c r="M41" s="95" t="n">
        <x:f>Model!M88</x:f>
        <x:v>0</x:v>
      </x:c>
      <x:c r="N41" s="95" t="n">
        <x:f>Model!N88</x:f>
        <x:v>0</x:v>
      </x:c>
      <x:c r="O41" s="95" t="n">
        <x:f>Model!O88</x:f>
        <x:v>0</x:v>
      </x:c>
    </x:row>
    <x:row r="42" ht="22" customHeight="1">
      <x:c r="C42" s="84" t="str">
        <x:v>Cash remitted for share withholding</x:v>
      </x:c>
      <x:c r="D42" s="95" t="n">
        <x:f>Model!D91</x:f>
        <x:v>37.464292477614755</x:v>
      </x:c>
      <x:c r="E42" s="95" t="n">
        <x:f>Model!E91</x:f>
        <x:v>37.70429247761476</x:v>
      </x:c>
      <x:c r="F42" s="95" t="n">
        <x:f>Model!F91</x:f>
        <x:v>38.83419183579841</x:v>
      </x:c>
      <x:c r="G42" s="95" t="n">
        <x:f>Model!G91</x:f>
        <x:v>39.26568285619616</x:v>
      </x:c>
      <x:c r="H42" s="95" t="n">
        <x:f>Model!H91</x:f>
        <x:v>39.69717387659394</x:v>
      </x:c>
      <x:c r="I42" s="95" t="n">
        <x:f>Model!I91</x:f>
        <x:v>39.71837935604599</x:v>
      </x:c>
      <x:c r="J42" s="95" t="n">
        <x:f>Model!J91</x:f>
        <x:v>42.74239265922355</x:v>
      </x:c>
      <x:c r="K42" s="95" t="n">
        <x:f>Model!K91</x:f>
        <x:v>42.74239265922355</x:v>
      </x:c>
      <x:c r="L42" s="95" t="n">
        <x:f>Model!L91</x:f>
        <x:v>86.53503472808835</x:v>
      </x:c>
      <x:c r="M42" s="95" t="n">
        <x:f>Model!M91</x:f>
        <x:v>159.78173170368487</x:v>
      </x:c>
      <x:c r="N42" s="95" t="n">
        <x:f>Model!N91</x:f>
        <x:v>117.22349551856594</x:v>
      </x:c>
      <x:c r="O42" s="95" t="n">
        <x:f>Model!O91</x:f>
        <x:v>124.4995838668374</x:v>
      </x:c>
    </x:row>
    <x:row r="43" ht="22" customHeight="1">
      <x:c r="C43" s="109" t="str">
        <x:v>Corporate cash from financing</x:v>
      </x:c>
      <x:c r="D43" s="127" t="n">
        <x:f>Model!D92</x:f>
        <x:v>62.535707522385245</x:v>
      </x:c>
      <x:c r="E43" s="127" t="n">
        <x:f>Model!E92</x:f>
        <x:v>-37.70429247761476</x:v>
      </x:c>
      <x:c r="F43" s="127" t="n">
        <x:f>Model!F92</x:f>
        <x:v>-38.83419183579841</x:v>
      </x:c>
      <x:c r="G43" s="127" t="n">
        <x:f>Model!G92</x:f>
        <x:v>-39.26568285619616</x:v>
      </x:c>
      <x:c r="H43" s="127" t="n">
        <x:f>Model!H92</x:f>
        <x:v>-39.69717387659394</x:v>
      </x:c>
      <x:c r="I43" s="127" t="n">
        <x:f>Model!I92</x:f>
        <x:v>-39.71837935604599</x:v>
      </x:c>
      <x:c r="J43" s="127" t="n">
        <x:f>Model!J92</x:f>
        <x:v>-42.74239265922355</x:v>
      </x:c>
      <x:c r="K43" s="127" t="n">
        <x:f>Model!K92</x:f>
        <x:v>-42.74239265922355</x:v>
      </x:c>
      <x:c r="L43" s="127" t="n">
        <x:f>Model!L92</x:f>
        <x:v>-86.53503472808835</x:v>
      </x:c>
      <x:c r="M43" s="127" t="n">
        <x:f>Model!M92</x:f>
        <x:v>-159.78173170368487</x:v>
      </x:c>
      <x:c r="N43" s="127" t="n">
        <x:f>Model!N92</x:f>
        <x:v>-117.22349551856594</x:v>
      </x:c>
      <x:c r="O43" s="127" t="n">
        <x:f>Model!O92</x:f>
        <x:v>-124.4995838668374</x:v>
      </x:c>
    </x:row>
    <x:row r="44" ht="22" customHeight="1">
      <x:c r="C44" s="84" t="str">
        <x:v>Internal redemption of corporate-owned USDC</x:v>
      </x:c>
      <x:c r="D44" s="95" t="n">
        <x:f>Model!D98</x:f>
        <x:v>0</x:v>
      </x:c>
      <x:c r="E44" s="95" t="n">
        <x:f>Model!E98</x:f>
        <x:v>0</x:v>
      </x:c>
      <x:c r="F44" s="95" t="n">
        <x:f>Model!F98</x:f>
        <x:v>0</x:v>
      </x:c>
      <x:c r="G44" s="95" t="n">
        <x:f>Model!G98</x:f>
        <x:v>0</x:v>
      </x:c>
      <x:c r="H44" s="95" t="n">
        <x:f>Model!H98</x:f>
        <x:v>0</x:v>
      </x:c>
      <x:c r="I44" s="95" t="n">
        <x:f>Model!I98</x:f>
        <x:v>0</x:v>
      </x:c>
      <x:c r="J44" s="95" t="n">
        <x:f>Model!J98</x:f>
        <x:v>0</x:v>
      </x:c>
      <x:c r="K44" s="95" t="n">
        <x:f>Model!K98</x:f>
        <x:v>0</x:v>
      </x:c>
      <x:c r="L44" s="95" t="n">
        <x:f>Model!L98</x:f>
        <x:v>0</x:v>
      </x:c>
      <x:c r="M44" s="95" t="n">
        <x:f>Model!M98</x:f>
        <x:v>0</x:v>
      </x:c>
      <x:c r="N44" s="95" t="n">
        <x:f>Model!N98</x:f>
        <x:v>0</x:v>
      </x:c>
      <x:c r="O44" s="95" t="n">
        <x:f>Model!O98</x:f>
        <x:v>0</x:v>
      </x:c>
    </x:row>
    <x:row r="45" ht="22" customHeight="1">
      <x:c r="C45" s="84" t="str">
        <x:v>Corporate bank cash, opening</x:v>
      </x:c>
      <x:c r="D45" s="95" t="n">
        <x:f>Model!D96</x:f>
        <x:v>1730.126</x:v>
      </x:c>
      <x:c r="E45" s="95" t="n">
        <x:f>Model!E96</x:f>
        <x:v>1888.1937983937764</x:v>
      </x:c>
      <x:c r="F45" s="95" t="n">
        <x:f>Model!F96</x:f>
        <x:v>1947.576454092443</x:v>
      </x:c>
      <x:c r="G45" s="95" t="n">
        <x:f>Model!G96</x:f>
        <x:v>2004.1522643606588</x:v>
      </x:c>
      <x:c r="H45" s="95" t="n">
        <x:f>Model!H96</x:f>
        <x:v>2055.8713011972136</x:v>
      </x:c>
      <x:c r="I45" s="95" t="n">
        <x:f>Model!I96</x:f>
        <x:v>2117.3080358669517</x:v>
      </x:c>
      <x:c r="J45" s="95" t="n">
        <x:f>Model!J96</x:f>
        <x:v>2188.193271389365</x:v>
      </x:c>
      <x:c r="K45" s="95" t="n">
        <x:f>Model!K96</x:f>
        <x:v>2267.1593264477615</x:v>
      </x:c>
      <x:c r="L45" s="95" t="n">
        <x:f>Model!L96</x:f>
        <x:v>2127.3869501089985</x:v>
      </x:c>
      <x:c r="M45" s="95" t="n">
        <x:f>Model!M96</x:f>
        <x:v>2321.21282989528</x:v>
      </x:c>
      <x:c r="N45" s="95" t="n">
        <x:f>Model!N96</x:f>
        <x:v>2875.116126199613</x:v>
      </x:c>
      <x:c r="O45" s="95" t="n">
        <x:f>Model!O96</x:f>
        <x:v>3668.097299384299</x:v>
      </x:c>
    </x:row>
    <x:row r="46" ht="22" customHeight="1">
      <x:c r="C46" s="109" t="str">
        <x:v>Corporate bank cash, closing</x:v>
      </x:c>
      <x:c r="D46" s="127" t="n">
        <x:f>Model!D99</x:f>
        <x:v>1888.1937983937764</x:v>
      </x:c>
      <x:c r="E46" s="127" t="n">
        <x:f>Model!E99</x:f>
        <x:v>1947.576454092443</x:v>
      </x:c>
      <x:c r="F46" s="127" t="n">
        <x:f>Model!F99</x:f>
        <x:v>2004.1522643606588</x:v>
      </x:c>
      <x:c r="G46" s="127" t="n">
        <x:f>Model!G99</x:f>
        <x:v>2055.8713011972136</x:v>
      </x:c>
      <x:c r="H46" s="127" t="n">
        <x:f>Model!H99</x:f>
        <x:v>2117.3080358669517</x:v>
      </x:c>
      <x:c r="I46" s="127" t="n">
        <x:f>Model!I99</x:f>
        <x:v>2188.193271389365</x:v>
      </x:c>
      <x:c r="J46" s="127" t="n">
        <x:f>Model!J99</x:f>
        <x:v>2267.1593264477615</x:v>
      </x:c>
      <x:c r="K46" s="127" t="n">
        <x:f>Model!K99</x:f>
        <x:v>2127.3869501089985</x:v>
      </x:c>
      <x:c r="L46" s="127" t="n">
        <x:f>Model!L99</x:f>
        <x:v>2321.21282989528</x:v>
      </x:c>
      <x:c r="M46" s="127" t="n">
        <x:f>Model!M99</x:f>
        <x:v>2875.116126199613</x:v>
      </x:c>
      <x:c r="N46" s="127" t="n">
        <x:f>Model!N99</x:f>
        <x:v>3668.097299384299</x:v>
      </x:c>
      <x:c r="O46" s="127" t="n">
        <x:f>Model!O99</x:f>
        <x:v>4663.18771624804</x:v>
      </x:c>
    </x:row>
    <x:row r="47" ht="22" customHeight="1">
      <x:c r="C47" s="69"/>
      <x:c r="D47" s="73"/>
      <x:c r="E47" s="73"/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</x:row>
    <x:row r="48" ht="22" customHeight="1">
      <x:c r="C48" s="69"/>
      <x:c r="D48" s="73"/>
      <x:c r="E48" s="73"/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</x:row>
    <x:row r="49" ht="24" customHeight="1">
      <x:c r="C49" s="122" t="str">
        <x:v>Balance sheet</x:v>
      </x:c>
      <x:c r="D49" s="124"/>
      <x:c r="E49" s="124"/>
      <x:c r="F49" s="124"/>
      <x:c r="G49" s="124"/>
      <x:c r="H49" s="124"/>
      <x:c r="I49" s="124"/>
      <x:c r="J49" s="124"/>
      <x:c r="K49" s="124"/>
      <x:c r="L49" s="124"/>
      <x:c r="M49" s="124"/>
      <x:c r="N49" s="124"/>
      <x:c r="O49" s="124"/>
    </x:row>
    <x:row r="50" ht="22" customHeight="1">
      <x:c r="C50" s="109" t="str">
        <x:v>Corporate bank cash, closing</x:v>
      </x:c>
      <x:c r="D50" s="127" t="n">
        <x:f>Model!D99</x:f>
        <x:v>1888.1937983937764</x:v>
      </x:c>
      <x:c r="E50" s="127" t="n">
        <x:f>Model!E99</x:f>
        <x:v>1947.576454092443</x:v>
      </x:c>
      <x:c r="F50" s="127" t="n">
        <x:f>Model!F99</x:f>
        <x:v>2004.1522643606588</x:v>
      </x:c>
      <x:c r="G50" s="127" t="n">
        <x:f>Model!G99</x:f>
        <x:v>2055.8713011972136</x:v>
      </x:c>
      <x:c r="H50" s="127" t="n">
        <x:f>Model!H99</x:f>
        <x:v>2117.3080358669517</x:v>
      </x:c>
      <x:c r="I50" s="127" t="n">
        <x:f>Model!I99</x:f>
        <x:v>2188.193271389365</x:v>
      </x:c>
      <x:c r="J50" s="127" t="n">
        <x:f>Model!J99</x:f>
        <x:v>2267.1593264477615</x:v>
      </x:c>
      <x:c r="K50" s="127" t="n">
        <x:f>Model!K99</x:f>
        <x:v>2127.3869501089985</x:v>
      </x:c>
      <x:c r="L50" s="127" t="n">
        <x:f>Model!L99</x:f>
        <x:v>2321.21282989528</x:v>
      </x:c>
      <x:c r="M50" s="127" t="n">
        <x:f>Model!M99</x:f>
        <x:v>2875.116126199613</x:v>
      </x:c>
      <x:c r="N50" s="127" t="n">
        <x:f>Model!N99</x:f>
        <x:v>3668.097299384299</x:v>
      </x:c>
      <x:c r="O50" s="127" t="n">
        <x:f>Model!O99</x:f>
        <x:v>4663.18771624804</x:v>
      </x:c>
    </x:row>
    <x:row r="51" ht="22" customHeight="1">
      <x:c r="C51" s="84" t="str">
        <x:v>Corporate-owned USDC, closing</x:v>
      </x:c>
      <x:c r="D51" s="95" t="n">
        <x:f>Model!D100</x:f>
        <x:v>889.311</x:v>
      </x:c>
      <x:c r="E51" s="95" t="n">
        <x:f>Model!E100</x:f>
        <x:v>889.311</x:v>
      </x:c>
      <x:c r="F51" s="95" t="n">
        <x:f>Model!F100</x:f>
        <x:v>889.311</x:v>
      </x:c>
      <x:c r="G51" s="95" t="n">
        <x:f>Model!G100</x:f>
        <x:v>889.311</x:v>
      </x:c>
      <x:c r="H51" s="95" t="n">
        <x:f>Model!H100</x:f>
        <x:v>889.311</x:v>
      </x:c>
      <x:c r="I51" s="95" t="n">
        <x:f>Model!I100</x:f>
        <x:v>889.311</x:v>
      </x:c>
      <x:c r="J51" s="95" t="n">
        <x:f>Model!J100</x:f>
        <x:v>889.311</x:v>
      </x:c>
      <x:c r="K51" s="95" t="n">
        <x:f>Model!K100</x:f>
        <x:v>889.311</x:v>
      </x:c>
      <x:c r="L51" s="95" t="n">
        <x:f>Model!L100</x:f>
        <x:v>889.311</x:v>
      </x:c>
      <x:c r="M51" s="95" t="n">
        <x:f>Model!M100</x:f>
        <x:v>889.311</x:v>
      </x:c>
      <x:c r="N51" s="95" t="n">
        <x:f>Model!N100</x:f>
        <x:v>889.311</x:v>
      </x:c>
      <x:c r="O51" s="95" t="n">
        <x:f>Model!O100</x:f>
        <x:v>889.311</x:v>
      </x:c>
    </x:row>
    <x:row r="52" ht="22" customHeight="1">
      <x:c r="C52" s="84" t="str">
        <x:v>Stablecoin-holder reserve assets</x:v>
      </x:c>
      <x:c r="D52" s="95" t="n">
        <x:f>Model!D18</x:f>
        <x:v>75781.3695298471</x:v>
      </x:c>
      <x:c r="E52" s="95" t="n">
        <x:f>Model!E18</x:f>
        <x:v>78495.51558567045</x:v>
      </x:c>
      <x:c r="F52" s="95" t="n">
        <x:f>Model!F18</x:f>
        <x:v>82930.71381244411</x:v>
      </x:c>
      <x:c r="G52" s="95" t="n">
        <x:f>Model!G18</x:f>
        <x:v>87670.31189404124</x:v>
      </x:c>
      <x:c r="H52" s="95" t="n">
        <x:f>Model!H18</x:f>
        <x:v>92737.68716398966</x:v>
      </x:c>
      <x:c r="I52" s="95" t="n">
        <x:f>Model!I18</x:f>
        <x:v>98098.24148208808</x:v>
      </x:c>
      <x:c r="J52" s="95" t="n">
        <x:f>Model!J18</x:f>
        <x:v>102656.31102957831</x:v>
      </x:c>
      <x:c r="K52" s="95" t="n">
        <x:f>Model!K18</x:f>
        <x:v>107426.35107657501</x:v>
      </x:c>
      <x:c r="L52" s="95" t="n">
        <x:f>Model!L18</x:f>
        <x:v>117759.73273101613</x:v>
      </x:c>
      <x:c r="M52" s="95" t="n">
        <x:f>Model!M18</x:f>
        <x:v>137764.5032552889</x:v>
      </x:c>
      <x:c r="N52" s="95" t="n">
        <x:f>Model!N18</x:f>
        <x:v>157039.68803102936</x:v>
      </x:c>
      <x:c r="O52" s="95" t="n">
        <x:f>Model!O18</x:f>
        <x:v>175874.29715475292</x:v>
      </x:c>
    </x:row>
    <x:row r="53" ht="22" customHeight="1">
      <x:c r="C53" s="84" t="str">
        <x:v>Total receivables</x:v>
      </x:c>
      <x:c r="D53" s="95" t="n">
        <x:f>Model!D81</x:f>
        <x:v>109.501396164053</x:v>
      </x:c>
      <x:c r="E53" s="95" t="n">
        <x:f>Model!E81</x:f>
        <x:v>113.84406980606876</x:v>
      </x:c>
      <x:c r="F53" s="95" t="n">
        <x:f>Model!F81</x:f>
        <x:v>119.63619152524383</x:v>
      </x:c>
      <x:c r="G53" s="95" t="n">
        <x:f>Model!G81</x:f>
        <x:v>125.98749114319928</x:v>
      </x:c>
      <x:c r="H53" s="95" t="n">
        <x:f>Model!H81</x:f>
        <x:v>132.9576176248766</x:v>
      </x:c>
      <x:c r="I53" s="95" t="n">
        <x:f>Model!I81</x:f>
        <x:v>140.52735197166746</x:v>
      </x:c>
      <x:c r="J53" s="95" t="n">
        <x:f>Model!J81</x:f>
        <x:v>147.7034960760196</x:v>
      </x:c>
      <x:c r="K53" s="95" t="n">
        <x:f>Model!K81</x:f>
        <x:v>135.22034482897126</x:v>
      </x:c>
      <x:c r="L53" s="95" t="n">
        <x:f>Model!L81</x:f>
        <x:v>152.64699957836294</x:v>
      </x:c>
      <x:c r="M53" s="95" t="n">
        <x:f>Model!M81</x:f>
        <x:v>189.3932905497673</x:v>
      </x:c>
      <x:c r="N53" s="95" t="n">
        <x:f>Model!N81</x:f>
        <x:v>229.18980570944132</x:v>
      </x:c>
      <x:c r="O53" s="95" t="n">
        <x:f>Model!O81</x:f>
        <x:v>268.9217005486396</x:v>
      </x:c>
    </x:row>
    <x:row r="54" ht="22" customHeight="1">
      <x:c r="C54" s="84" t="str">
        <x:v>Prepaid expenses and current assets</x:v>
      </x:c>
      <x:c r="D54" s="95" t="n">
        <x:f>Model!D82</x:f>
        <x:v>281.8846216192894</x:v>
      </x:c>
      <x:c r="E54" s="95" t="n">
        <x:f>Model!E82</x:f>
        <x:v>289.385487376708</x:v>
      </x:c>
      <x:c r="F54" s="95" t="n">
        <x:f>Model!F82</x:f>
        <x:v>275.88042977326364</x:v>
      </x:c>
      <x:c r="G54" s="95" t="n">
        <x:f>Model!G82</x:f>
        <x:v>287.3148950833103</x:v>
      </x:c>
      <x:c r="H54" s="95" t="n">
        <x:f>Model!H82</x:f>
        <x:v>299.5047855345845</x:v>
      </x:c>
      <x:c r="I54" s="95" t="n">
        <x:f>Model!I82</x:f>
        <x:v>312.4262380701521</x:v>
      </x:c>
      <x:c r="J54" s="95" t="n">
        <x:f>Model!J82</x:f>
        <x:v>317.45732725320664</x:v>
      </x:c>
      <x:c r="K54" s="95" t="n">
        <x:f>Model!K82</x:f>
        <x:v>328.86168723968905</x:v>
      </x:c>
      <x:c r="L54" s="95" t="n">
        <x:f>Model!L82</x:f>
        <x:v>347.94741645829066</x:v>
      </x:c>
      <x:c r="M54" s="95" t="n">
        <x:f>Model!M82</x:f>
        <x:v>385.73074451515726</x:v>
      </x:c>
      <x:c r="N54" s="95" t="n">
        <x:f>Model!N82</x:f>
        <x:v>432.659062246028</x:v>
      </x:c>
      <x:c r="O54" s="95" t="n">
        <x:f>Model!O82</x:f>
        <x:v>478.6532299495564</x:v>
      </x:c>
    </x:row>
    <x:row r="55" ht="22" customHeight="1">
      <x:c r="C55" s="84" t="str">
        <x:v>Restricted cash</x:v>
      </x:c>
      <x:c r="D55" s="95" t="n">
        <x:f>Model!D105</x:f>
        <x:v>12.806</x:v>
      </x:c>
      <x:c r="E55" s="95" t="n">
        <x:f>Model!E105</x:f>
        <x:v>12.806</x:v>
      </x:c>
      <x:c r="F55" s="95" t="n">
        <x:f>Model!F105</x:f>
        <x:v>12.806</x:v>
      </x:c>
      <x:c r="G55" s="95" t="n">
        <x:f>Model!G105</x:f>
        <x:v>12.806</x:v>
      </x:c>
      <x:c r="H55" s="95" t="n">
        <x:f>Model!H105</x:f>
        <x:v>12.806</x:v>
      </x:c>
      <x:c r="I55" s="95" t="n">
        <x:f>Model!I105</x:f>
        <x:v>12.806</x:v>
      </x:c>
      <x:c r="J55" s="95" t="n">
        <x:f>Model!J105</x:f>
        <x:v>12.806</x:v>
      </x:c>
      <x:c r="K55" s="95" t="n">
        <x:f>Model!K105</x:f>
        <x:v>12.806</x:v>
      </x:c>
      <x:c r="L55" s="95" t="n">
        <x:f>Model!L105</x:f>
        <x:v>12.806</x:v>
      </x:c>
      <x:c r="M55" s="95" t="n">
        <x:f>Model!M105</x:f>
        <x:v>12.806</x:v>
      </x:c>
      <x:c r="N55" s="95" t="n">
        <x:f>Model!N105</x:f>
        <x:v>12.806</x:v>
      </x:c>
      <x:c r="O55" s="95" t="n">
        <x:f>Model!O105</x:f>
        <x:v>12.806</x:v>
      </x:c>
    </x:row>
    <x:row r="56" ht="22" customHeight="1">
      <x:c r="C56" s="84" t="str">
        <x:v>Investments</x:v>
      </x:c>
      <x:c r="D56" s="95" t="n">
        <x:f>Model!D106</x:f>
        <x:v>103.757</x:v>
      </x:c>
      <x:c r="E56" s="95" t="n">
        <x:f>Model!E106</x:f>
        <x:v>103.757</x:v>
      </x:c>
      <x:c r="F56" s="95" t="n">
        <x:f>Model!F106</x:f>
        <x:v>103.757</x:v>
      </x:c>
      <x:c r="G56" s="95" t="n">
        <x:f>Model!G106</x:f>
        <x:v>103.757</x:v>
      </x:c>
      <x:c r="H56" s="95" t="n">
        <x:f>Model!H106</x:f>
        <x:v>103.757</x:v>
      </x:c>
      <x:c r="I56" s="95" t="n">
        <x:f>Model!I106</x:f>
        <x:v>103.757</x:v>
      </x:c>
      <x:c r="J56" s="95" t="n">
        <x:f>Model!J106</x:f>
        <x:v>103.757</x:v>
      </x:c>
      <x:c r="K56" s="95" t="n">
        <x:f>Model!K106</x:f>
        <x:v>103.757</x:v>
      </x:c>
      <x:c r="L56" s="95" t="n">
        <x:f>Model!L106</x:f>
        <x:v>103.757</x:v>
      </x:c>
      <x:c r="M56" s="95" t="n">
        <x:f>Model!M106</x:f>
        <x:v>103.757</x:v>
      </x:c>
      <x:c r="N56" s="95" t="n">
        <x:f>Model!N106</x:f>
        <x:v>103.757</x:v>
      </x:c>
      <x:c r="O56" s="95" t="n">
        <x:f>Model!O106</x:f>
        <x:v>103.757</x:v>
      </x:c>
    </x:row>
    <x:row r="57" ht="22" customHeight="1">
      <x:c r="C57" s="84" t="str">
        <x:v>PPE, net</x:v>
      </x:c>
      <x:c r="D57" s="95" t="n">
        <x:f>Model!D62</x:f>
        <x:v>26.188205324538245</x:v>
      </x:c>
      <x:c r="E57" s="95" t="n">
        <x:f>Model!E62</x:f>
        <x:v>30.137504656868277</x:v>
      </x:c>
      <x:c r="F57" s="95" t="n">
        <x:f>Model!F62</x:f>
        <x:v>33.55994166269216</x:v>
      </x:c>
      <x:c r="G57" s="95" t="n">
        <x:f>Model!G62</x:f>
        <x:v>37.068134973946684</x:v>
      </x:c>
      <x:c r="H57" s="95" t="n">
        <x:f>Model!H62</x:f>
        <x:v>40.66711300243666</x:v>
      </x:c>
      <x:c r="I57" s="95" t="n">
        <x:f>Model!I62</x:f>
        <x:v>44.32235073220963</x:v>
      </x:c>
      <x:c r="J57" s="95" t="n">
        <x:f>Model!J62</x:f>
        <x:v>47.57580850757958</x:v>
      </x:c>
      <x:c r="K57" s="95" t="n">
        <x:f>Model!K62</x:f>
        <x:v>50.825979481988654</x:v>
      </x:c>
      <x:c r="L57" s="95" t="n">
        <x:f>Model!L62</x:f>
        <x:v>57.389566577382894</x:v>
      </x:c>
      <x:c r="M57" s="95" t="n">
        <x:f>Model!M62</x:f>
        <x:v>68.83639408762504</x:v>
      </x:c>
      <x:c r="N57" s="95" t="n">
        <x:f>Model!N62</x:f>
        <x:v>77.1825936292568</x:v>
      </x:c>
      <x:c r="O57" s="95" t="n">
        <x:f>Model!O62</x:f>
        <x:v>84.02723743702477</x:v>
      </x:c>
    </x:row>
    <x:row r="58" ht="22" customHeight="1">
      <x:c r="C58" s="84" t="str">
        <x:v>Digital assets</x:v>
      </x:c>
      <x:c r="D58" s="95" t="n">
        <x:f>Model!D107</x:f>
        <x:v>106.539</x:v>
      </x:c>
      <x:c r="E58" s="95" t="n">
        <x:f>Model!E107</x:f>
        <x:v>106.539</x:v>
      </x:c>
      <x:c r="F58" s="95" t="n">
        <x:f>Model!F107</x:f>
        <x:v>106.539</x:v>
      </x:c>
      <x:c r="G58" s="95" t="n">
        <x:f>Model!G107</x:f>
        <x:v>106.539</x:v>
      </x:c>
      <x:c r="H58" s="95" t="n">
        <x:f>Model!H107</x:f>
        <x:v>106.539</x:v>
      </x:c>
      <x:c r="I58" s="95" t="n">
        <x:f>Model!I107</x:f>
        <x:v>106.539</x:v>
      </x:c>
      <x:c r="J58" s="95" t="n">
        <x:f>Model!J107</x:f>
        <x:v>106.539</x:v>
      </x:c>
      <x:c r="K58" s="95" t="n">
        <x:f>Model!K107</x:f>
        <x:v>106.539</x:v>
      </x:c>
      <x:c r="L58" s="95" t="n">
        <x:f>Model!L107</x:f>
        <x:v>106.539</x:v>
      </x:c>
      <x:c r="M58" s="95" t="n">
        <x:f>Model!M107</x:f>
        <x:v>106.539</x:v>
      </x:c>
      <x:c r="N58" s="95" t="n">
        <x:f>Model!N107</x:f>
        <x:v>106.539</x:v>
      </x:c>
      <x:c r="O58" s="95" t="n">
        <x:f>Model!O107</x:f>
        <x:v>106.539</x:v>
      </x:c>
    </x:row>
    <x:row r="59" ht="22" customHeight="1">
      <x:c r="C59" s="84" t="str">
        <x:v>Goodwill</x:v>
      </x:c>
      <x:c r="D59" s="95" t="n">
        <x:f>Model!D108</x:f>
        <x:v>265.742</x:v>
      </x:c>
      <x:c r="E59" s="95" t="n">
        <x:f>Model!E108</x:f>
        <x:v>265.742</x:v>
      </x:c>
      <x:c r="F59" s="95" t="n">
        <x:f>Model!F108</x:f>
        <x:v>265.742</x:v>
      </x:c>
      <x:c r="G59" s="95" t="n">
        <x:f>Model!G108</x:f>
        <x:v>265.742</x:v>
      </x:c>
      <x:c r="H59" s="95" t="n">
        <x:f>Model!H108</x:f>
        <x:v>265.742</x:v>
      </x:c>
      <x:c r="I59" s="95" t="n">
        <x:f>Model!I108</x:f>
        <x:v>265.742</x:v>
      </x:c>
      <x:c r="J59" s="95" t="n">
        <x:f>Model!J108</x:f>
        <x:v>265.742</x:v>
      </x:c>
      <x:c r="K59" s="95" t="n">
        <x:f>Model!K108</x:f>
        <x:v>265.742</x:v>
      </x:c>
      <x:c r="L59" s="95" t="n">
        <x:f>Model!L108</x:f>
        <x:v>265.742</x:v>
      </x:c>
      <x:c r="M59" s="95" t="n">
        <x:f>Model!M108</x:f>
        <x:v>265.742</x:v>
      </x:c>
      <x:c r="N59" s="95" t="n">
        <x:f>Model!N108</x:f>
        <x:v>265.742</x:v>
      </x:c>
      <x:c r="O59" s="95" t="n">
        <x:f>Model!O108</x:f>
        <x:v>265.742</x:v>
      </x:c>
    </x:row>
    <x:row r="60" ht="22" customHeight="1">
      <x:c r="C60" s="84" t="str">
        <x:v>Intangible assets, net</x:v>
      </x:c>
      <x:c r="D60" s="95" t="n">
        <x:f>Model!D61</x:f>
        <x:v>444.25456348034976</x:v>
      </x:c>
      <x:c r="E60" s="95" t="n">
        <x:f>Model!E61</x:f>
        <x:v>440.1108109033824</x:v>
      </x:c>
      <x:c r="F60" s="95" t="n">
        <x:f>Model!F61</x:f>
        <x:v>443.3618666138335</x:v>
      </x:c>
      <x:c r="G60" s="95" t="n">
        <x:f>Model!G61</x:f>
        <x:v>445.14286634762067</x:v>
      </x:c>
      <x:c r="H60" s="95" t="n">
        <x:f>Model!H61</x:f>
        <x:v>445.3784432422423</x:v>
      </x:c>
      <x:c r="I60" s="95" t="n">
        <x:f>Model!I61</x:f>
        <x:v>444.01328760330273</x:v>
      </x:c>
      <x:c r="J60" s="95" t="n">
        <x:f>Model!J61</x:f>
        <x:v>458.39940292877037</x:v>
      </x:c>
      <x:c r="K60" s="95" t="n">
        <x:f>Model!K61</x:f>
        <x:v>470.85991289373305</x:v>
      </x:c>
      <x:c r="L60" s="95" t="n">
        <x:f>Model!L61</x:f>
        <x:v>490.0034055540759</x:v>
      </x:c>
      <x:c r="M60" s="95" t="n">
        <x:f>Model!M61</x:f>
        <x:v>524.2314789281671</x:v>
      </x:c>
      <x:c r="N60" s="95" t="n">
        <x:f>Model!N61</x:f>
        <x:v>554.5974122034331</x:v>
      </x:c>
      <x:c r="O60" s="95" t="n">
        <x:f>Model!O61</x:f>
        <x:v>585.5796493159967</x:v>
      </x:c>
    </x:row>
    <x:row r="61" ht="22" customHeight="1">
      <x:c r="C61" s="84" t="str">
        <x:v>Unallocated acquired net asset pool</x:v>
      </x:c>
      <x:c r="D61" s="95" t="n">
        <x:f>Model!D67</x:f>
        <x:v>0</x:v>
      </x:c>
      <x:c r="E61" s="95" t="n">
        <x:f>Model!E67</x:f>
        <x:v>0</x:v>
      </x:c>
      <x:c r="F61" s="95" t="n">
        <x:f>Model!F67</x:f>
        <x:v>0</x:v>
      </x:c>
      <x:c r="G61" s="95" t="n">
        <x:f>Model!G67</x:f>
        <x:v>400</x:v>
      </x:c>
      <x:c r="H61" s="95" t="n">
        <x:f>Model!H67</x:f>
        <x:v>400</x:v>
      </x:c>
      <x:c r="I61" s="95" t="n">
        <x:f>Model!I67</x:f>
        <x:v>400</x:v>
      </x:c>
      <x:c r="J61" s="95" t="n">
        <x:f>Model!J67</x:f>
        <x:v>400</x:v>
      </x:c>
      <x:c r="K61" s="95" t="n">
        <x:f>Model!K67</x:f>
        <x:v>400</x:v>
      </x:c>
      <x:c r="L61" s="95" t="n">
        <x:f>Model!L67</x:f>
        <x:v>400</x:v>
      </x:c>
      <x:c r="M61" s="95" t="n">
        <x:f>Model!M67</x:f>
        <x:v>400</x:v>
      </x:c>
      <x:c r="N61" s="95" t="n">
        <x:f>Model!N67</x:f>
        <x:v>400</x:v>
      </x:c>
      <x:c r="O61" s="95" t="n">
        <x:f>Model!O67</x:f>
        <x:v>400</x:v>
      </x:c>
    </x:row>
    <x:row r="62" ht="22" customHeight="1">
      <x:c r="C62" s="84" t="str">
        <x:v>Deferred tax assets</x:v>
      </x:c>
      <x:c r="D62" s="95" t="n">
        <x:f>Model!D109</x:f>
        <x:v>11.354</x:v>
      </x:c>
      <x:c r="E62" s="95" t="n">
        <x:f>Model!E109</x:f>
        <x:v>11.354</x:v>
      </x:c>
      <x:c r="F62" s="95" t="n">
        <x:f>Model!F109</x:f>
        <x:v>11.354</x:v>
      </x:c>
      <x:c r="G62" s="95" t="n">
        <x:f>Model!G109</x:f>
        <x:v>11.354</x:v>
      </x:c>
      <x:c r="H62" s="95" t="n">
        <x:f>Model!H109</x:f>
        <x:v>11.354</x:v>
      </x:c>
      <x:c r="I62" s="95" t="n">
        <x:f>Model!I109</x:f>
        <x:v>11.354</x:v>
      </x:c>
      <x:c r="J62" s="95" t="n">
        <x:f>Model!J109</x:f>
        <x:v>11.354</x:v>
      </x:c>
      <x:c r="K62" s="95" t="n">
        <x:f>Model!K109</x:f>
        <x:v>11.354</x:v>
      </x:c>
      <x:c r="L62" s="95" t="n">
        <x:f>Model!L109</x:f>
        <x:v>11.354</x:v>
      </x:c>
      <x:c r="M62" s="95" t="n">
        <x:f>Model!M109</x:f>
        <x:v>11.354</x:v>
      </x:c>
      <x:c r="N62" s="95" t="n">
        <x:f>Model!N109</x:f>
        <x:v>11.354</x:v>
      </x:c>
      <x:c r="O62" s="95" t="n">
        <x:f>Model!O109</x:f>
        <x:v>11.354</x:v>
      </x:c>
    </x:row>
    <x:row r="63" ht="22" customHeight="1">
      <x:c r="C63" s="84" t="str">
        <x:v>Other non-current assets</x:v>
      </x:c>
      <x:c r="D63" s="95" t="n">
        <x:f>Model!D110</x:f>
        <x:v>26.89</x:v>
      </x:c>
      <x:c r="E63" s="95" t="n">
        <x:f>Model!E110</x:f>
        <x:v>26.89</x:v>
      </x:c>
      <x:c r="F63" s="95" t="n">
        <x:f>Model!F110</x:f>
        <x:v>26.89</x:v>
      </x:c>
      <x:c r="G63" s="95" t="n">
        <x:f>Model!G110</x:f>
        <x:v>26.89</x:v>
      </x:c>
      <x:c r="H63" s="95" t="n">
        <x:f>Model!H110</x:f>
        <x:v>26.89</x:v>
      </x:c>
      <x:c r="I63" s="95" t="n">
        <x:f>Model!I110</x:f>
        <x:v>26.89</x:v>
      </x:c>
      <x:c r="J63" s="95" t="n">
        <x:f>Model!J110</x:f>
        <x:v>26.89</x:v>
      </x:c>
      <x:c r="K63" s="95" t="n">
        <x:f>Model!K110</x:f>
        <x:v>26.89</x:v>
      </x:c>
      <x:c r="L63" s="95" t="n">
        <x:f>Model!L110</x:f>
        <x:v>26.89</x:v>
      </x:c>
      <x:c r="M63" s="95" t="n">
        <x:f>Model!M110</x:f>
        <x:v>26.89</x:v>
      </x:c>
      <x:c r="N63" s="95" t="n">
        <x:f>Model!N110</x:f>
        <x:v>26.89</x:v>
      </x:c>
      <x:c r="O63" s="95" t="n">
        <x:f>Model!O110</x:f>
        <x:v>26.89</x:v>
      </x:c>
    </x:row>
    <x:row r="64" ht="22" customHeight="1">
      <x:c r="C64" s="109" t="str">
        <x:v>Total assets</x:v>
      </x:c>
      <x:c r="D64" s="127" t="n">
        <x:f>Model!D119</x:f>
        <x:v>79947.7911148291</x:v>
      </x:c>
      <x:c r="E64" s="127" t="n">
        <x:f>Model!E119</x:f>
        <x:v>82732.96891250594</x:v>
      </x:c>
      <x:c r="F64" s="127" t="n">
        <x:f>Model!F119</x:f>
        <x:v>87223.70350637981</x:v>
      </x:c>
      <x:c r="G64" s="127" t="n">
        <x:f>Model!G119</x:f>
        <x:v>92438.09558278654</x:v>
      </x:c>
      <x:c r="H64" s="127" t="n">
        <x:f>Model!H119</x:f>
        <x:v>97589.90215926076</x:v>
      </x:c>
      <x:c r="I64" s="127" t="n">
        <x:f>Model!I119</x:f>
        <x:v>103044.12298185479</x:v>
      </x:c>
      <x:c r="J64" s="127" t="n">
        <x:f>Model!J119</x:f>
        <x:v>107711.00539079164</x:v>
      </x:c>
      <x:c r="K64" s="127" t="n">
        <x:f>Model!K119</x:f>
        <x:v>112355.9049511284</x:v>
      </x:c>
      <x:c r="L64" s="127" t="n">
        <x:f>Model!L119</x:f>
        <x:v>122945.33194907954</x:v>
      </x:c>
      <x:c r="M64" s="127" t="n">
        <x:f>Model!M119</x:f>
        <x:v>143624.21028956928</x:v>
      </x:c>
      <x:c r="N64" s="127" t="n">
        <x:f>Model!N119</x:f>
        <x:v>163817.81320420184</x:v>
      </x:c>
      <x:c r="O64" s="127" t="n">
        <x:f>Model!O119</x:f>
        <x:v>183771.06568825222</x:v>
      </x:c>
    </x:row>
    <x:row r="65" ht="22" customHeight="1">
      <x:c r="C65" s="84" t="str">
        <x:v>Stablecoin-holder deposits</x:v>
      </x:c>
      <x:c r="D65" s="95" t="n">
        <x:f>Model!D17</x:f>
        <x:v>75542.39848475702</x:v>
      </x:c>
      <x:c r="E65" s="95" t="n">
        <x:f>Model!E17</x:f>
        <x:v>78251.00991786888</x:v>
      </x:c>
      <x:c r="F65" s="95" t="n">
        <x:f>Model!F17</x:f>
        <x:v>82677.16399287949</x:v>
      </x:c>
      <x:c r="G65" s="95" t="n">
        <x:f>Model!G17</x:f>
        <x:v>87407.09719769907</x:v>
      </x:c>
      <x:c r="H65" s="95" t="n">
        <x:f>Model!H17</x:f>
        <x:v>92464.1391953475</x:v>
      </x:c>
      <x:c r="I65" s="95" t="n">
        <x:f>Model!I17</x:f>
        <x:v>97813.7623973361</x:v>
      </x:c>
      <x:c r="J65" s="95" t="n">
        <x:f>Model!J17</x:f>
        <x:v>102362.53723676005</x:v>
      </x:c>
      <x:c r="K65" s="95" t="n">
        <x:f>Model!K17</x:f>
        <x:v>107122.85033044034</x:v>
      </x:c>
      <x:c r="L65" s="95" t="n">
        <x:f>Model!L17</x:f>
        <x:v>117435.16039639102</x:v>
      </x:c>
      <x:c r="M65" s="95" t="n">
        <x:f>Model!M17</x:f>
        <x:v>137399.1376637775</x:v>
      </x:c>
      <x:c r="N65" s="95" t="n">
        <x:f>Model!N17</x:f>
        <x:v>156635.01693670638</x:v>
      </x:c>
      <x:c r="O65" s="95" t="n">
        <x:f>Model!O17</x:f>
        <x:v>175431.21896911116</x:v>
      </x:c>
    </x:row>
    <x:row r="66" ht="22" customHeight="1">
      <x:c r="C66" s="84" t="str">
        <x:v>Accounts payable and accrued expenses</x:v>
      </x:c>
      <x:c r="D66" s="95" t="n">
        <x:f>Model!D83</x:f>
        <x:v>425.0017326030312</x:v>
      </x:c>
      <x:c r="E66" s="95" t="n">
        <x:f>Model!E83</x:f>
        <x:v>436.6710942984814</x:v>
      </x:c>
      <x:c r="F66" s="95" t="n">
        <x:f>Model!F83</x:f>
        <x:v>443.61867077331146</x:v>
      </x:c>
      <x:c r="G66" s="95" t="n">
        <x:f>Model!G83</x:f>
        <x:v>462.56654610486174</x:v>
      </x:c>
      <x:c r="H66" s="95" t="n">
        <x:f>Model!H83</x:f>
        <x:v>482.7148630439906</x:v>
      </x:c>
      <x:c r="I66" s="95" t="n">
        <x:f>Model!I83</x:f>
        <x:v>503.94896584876136</x:v>
      </x:c>
      <x:c r="J66" s="95" t="n">
        <x:f>Model!J83</x:f>
        <x:v>521.6849075622762</x:v>
      </x:c>
      <x:c r="K66" s="95" t="n">
        <x:f>Model!K83</x:f>
        <x:v>540.9653756757328</x:v>
      </x:c>
      <x:c r="L66" s="95" t="n">
        <x:f>Model!L83</x:f>
        <x:v>579.5627916792346</x:v>
      </x:c>
      <x:c r="M66" s="95" t="n">
        <x:f>Model!M83</x:f>
        <x:v>655.696027680072</x:v>
      </x:c>
      <x:c r="N66" s="95" t="n">
        <x:f>Model!N83</x:f>
        <x:v>734.2487442530794</x:v>
      </x:c>
      <x:c r="O66" s="95" t="n">
        <x:f>Model!O83</x:f>
        <x:v>811.9934580550216</x:v>
      </x:c>
    </x:row>
    <x:row r="67" ht="22" customHeight="1">
      <x:c r="C67" s="84" t="str">
        <x:v>Debt</x:v>
      </x:c>
      <x:c r="D67" s="95" t="n">
        <x:f>Model!D111</x:f>
        <x:v>0</x:v>
      </x:c>
      <x:c r="E67" s="95" t="n">
        <x:f>Model!E111</x:f>
        <x:v>0</x:v>
      </x:c>
      <x:c r="F67" s="95" t="n">
        <x:f>Model!F111</x:f>
        <x:v>0</x:v>
      </x:c>
      <x:c r="G67" s="95" t="n">
        <x:f>Model!G111</x:f>
        <x:v>0</x:v>
      </x:c>
      <x:c r="H67" s="95" t="n">
        <x:f>Model!H111</x:f>
        <x:v>0</x:v>
      </x:c>
      <x:c r="I67" s="95" t="n">
        <x:f>Model!I111</x:f>
        <x:v>0</x:v>
      </x:c>
      <x:c r="J67" s="95" t="n">
        <x:f>Model!J111</x:f>
        <x:v>0</x:v>
      </x:c>
      <x:c r="K67" s="95" t="n">
        <x:f>Model!K111</x:f>
        <x:v>0</x:v>
      </x:c>
      <x:c r="L67" s="95" t="n">
        <x:f>Model!L111</x:f>
        <x:v>0</x:v>
      </x:c>
      <x:c r="M67" s="95" t="n">
        <x:f>Model!M111</x:f>
        <x:v>0</x:v>
      </x:c>
      <x:c r="N67" s="95" t="n">
        <x:f>Model!N111</x:f>
        <x:v>0</x:v>
      </x:c>
      <x:c r="O67" s="95" t="n">
        <x:f>Model!O111</x:f>
        <x:v>0</x:v>
      </x:c>
    </x:row>
    <x:row r="68" ht="22" customHeight="1">
      <x:c r="C68" s="84" t="str">
        <x:v>Other current liabilities</x:v>
      </x:c>
      <x:c r="D68" s="95" t="n">
        <x:f>Model!D84</x:f>
        <x:v>256.021</x:v>
      </x:c>
      <x:c r="E68" s="95" t="n">
        <x:f>Model!E84</x:f>
        <x:v>256.021</x:v>
      </x:c>
      <x:c r="F68" s="95" t="n">
        <x:f>Model!F84</x:f>
        <x:v>256.021</x:v>
      </x:c>
      <x:c r="G68" s="95" t="n">
        <x:f>Model!G84</x:f>
        <x:v>256.021</x:v>
      </x:c>
      <x:c r="H68" s="95" t="n">
        <x:f>Model!H84</x:f>
        <x:v>256.021</x:v>
      </x:c>
      <x:c r="I68" s="95" t="n">
        <x:f>Model!I84</x:f>
        <x:v>256.021</x:v>
      </x:c>
      <x:c r="J68" s="95" t="n">
        <x:f>Model!J84</x:f>
        <x:v>256.021</x:v>
      </x:c>
      <x:c r="K68" s="95" t="n">
        <x:f>Model!K84</x:f>
        <x:v>13.821000000000026</x:v>
      </x:c>
      <x:c r="L68" s="95" t="n">
        <x:f>Model!L84</x:f>
        <x:v>13.821000000000026</x:v>
      </x:c>
      <x:c r="M68" s="95" t="n">
        <x:f>Model!M84</x:f>
        <x:v>13.821000000000026</x:v>
      </x:c>
      <x:c r="N68" s="95" t="n">
        <x:f>Model!N84</x:f>
        <x:v>13.821000000000026</x:v>
      </x:c>
      <x:c r="O68" s="95" t="n">
        <x:f>Model!O84</x:f>
        <x:v>13.821000000000026</x:v>
      </x:c>
    </x:row>
    <x:row r="69" ht="22" customHeight="1">
      <x:c r="C69" s="84" t="str">
        <x:v>Deferred tax liabilities</x:v>
      </x:c>
      <x:c r="D69" s="95" t="n">
        <x:f>Model!D112</x:f>
        <x:v>28.495</x:v>
      </x:c>
      <x:c r="E69" s="95" t="n">
        <x:f>Model!E112</x:f>
        <x:v>28.495</x:v>
      </x:c>
      <x:c r="F69" s="95" t="n">
        <x:f>Model!F112</x:f>
        <x:v>28.495</x:v>
      </x:c>
      <x:c r="G69" s="95" t="n">
        <x:f>Model!G112</x:f>
        <x:v>28.495</x:v>
      </x:c>
      <x:c r="H69" s="95" t="n">
        <x:f>Model!H112</x:f>
        <x:v>28.495</x:v>
      </x:c>
      <x:c r="I69" s="95" t="n">
        <x:f>Model!I112</x:f>
        <x:v>28.495</x:v>
      </x:c>
      <x:c r="J69" s="95" t="n">
        <x:f>Model!J112</x:f>
        <x:v>28.495</x:v>
      </x:c>
      <x:c r="K69" s="95" t="n">
        <x:f>Model!K112</x:f>
        <x:v>28.495</x:v>
      </x:c>
      <x:c r="L69" s="95" t="n">
        <x:f>Model!L112</x:f>
        <x:v>28.495</x:v>
      </x:c>
      <x:c r="M69" s="95" t="n">
        <x:f>Model!M112</x:f>
        <x:v>28.495</x:v>
      </x:c>
      <x:c r="N69" s="95" t="n">
        <x:f>Model!N112</x:f>
        <x:v>28.495</x:v>
      </x:c>
      <x:c r="O69" s="95" t="n">
        <x:f>Model!O112</x:f>
        <x:v>28.495</x:v>
      </x:c>
    </x:row>
    <x:row r="70" ht="22" customHeight="1">
      <x:c r="C70" s="84" t="str">
        <x:v>Other non-current liabilities</x:v>
      </x:c>
      <x:c r="D70" s="95" t="n">
        <x:f>Model!D113</x:f>
        <x:v>24.837</x:v>
      </x:c>
      <x:c r="E70" s="95" t="n">
        <x:f>Model!E113</x:f>
        <x:v>24.837</x:v>
      </x:c>
      <x:c r="F70" s="95" t="n">
        <x:f>Model!F113</x:f>
        <x:v>24.837</x:v>
      </x:c>
      <x:c r="G70" s="95" t="n">
        <x:f>Model!G113</x:f>
        <x:v>24.837</x:v>
      </x:c>
      <x:c r="H70" s="95" t="n">
        <x:f>Model!H113</x:f>
        <x:v>24.837</x:v>
      </x:c>
      <x:c r="I70" s="95" t="n">
        <x:f>Model!I113</x:f>
        <x:v>24.837</x:v>
      </x:c>
      <x:c r="J70" s="95" t="n">
        <x:f>Model!J113</x:f>
        <x:v>24.837</x:v>
      </x:c>
      <x:c r="K70" s="95" t="n">
        <x:f>Model!K113</x:f>
        <x:v>24.837</x:v>
      </x:c>
      <x:c r="L70" s="95" t="n">
        <x:f>Model!L113</x:f>
        <x:v>24.837</x:v>
      </x:c>
      <x:c r="M70" s="95" t="n">
        <x:f>Model!M113</x:f>
        <x:v>24.837</x:v>
      </x:c>
      <x:c r="N70" s="95" t="n">
        <x:f>Model!N113</x:f>
        <x:v>24.837</x:v>
      </x:c>
      <x:c r="O70" s="95" t="n">
        <x:f>Model!O113</x:f>
        <x:v>24.837</x:v>
      </x:c>
    </x:row>
    <x:row r="71" ht="22" customHeight="1">
      <x:c r="C71" s="109" t="str">
        <x:v>Total liabilities</x:v>
      </x:c>
      <x:c r="D71" s="127" t="n">
        <x:f>Model!D120</x:f>
        <x:v>76276.75321736005</x:v>
      </x:c>
      <x:c r="E71" s="127" t="n">
        <x:f>Model!E120</x:f>
        <x:v>78997.03401216735</x:v>
      </x:c>
      <x:c r="F71" s="127" t="n">
        <x:f>Model!F120</x:f>
        <x:v>83430.13566365279</x:v>
      </x:c>
      <x:c r="G71" s="127" t="n">
        <x:f>Model!G120</x:f>
        <x:v>88179.01674380392</x:v>
      </x:c>
      <x:c r="H71" s="127" t="n">
        <x:f>Model!H120</x:f>
        <x:v>93256.20705839148</x:v>
      </x:c>
      <x:c r="I71" s="127" t="n">
        <x:f>Model!I120</x:f>
        <x:v>98627.06436318485</x:v>
      </x:c>
      <x:c r="J71" s="127" t="n">
        <x:f>Model!J120</x:f>
        <x:v>103193.57514432231</x:v>
      </x:c>
      <x:c r="K71" s="127" t="n">
        <x:f>Model!K120</x:f>
        <x:v>107730.96870611607</x:v>
      </x:c>
      <x:c r="L71" s="127" t="n">
        <x:f>Model!L120</x:f>
        <x:v>118081.87618807024</x:v>
      </x:c>
      <x:c r="M71" s="127" t="n">
        <x:f>Model!M120</x:f>
        <x:v>138121.98669145757</x:v>
      </x:c>
      <x:c r="N71" s="127" t="n">
        <x:f>Model!N120</x:f>
        <x:v>157436.41868095944</x:v>
      </x:c>
      <x:c r="O71" s="127" t="n">
        <x:f>Model!O120</x:f>
        <x:v>176310.36542716617</x:v>
      </x:c>
    </x:row>
    <x:row r="72" ht="22" customHeight="1">
      <x:c r="C72" s="84" t="str">
        <x:v>Additional paid-in capital</x:v>
      </x:c>
      <x:c r="D72" s="95" t="n">
        <x:f>Model!D103</x:f>
        <x:v>4822.459018007129</x:v>
      </x:c>
      <x:c r="E72" s="95" t="n">
        <x:f>Model!E103</x:f>
        <x:v>4850.692036014258</x:v>
      </x:c>
      <x:c r="F72" s="95" t="n">
        <x:f>Model!F103</x:f>
        <x:v>4882.860261171075</x:v>
      </x:c>
      <x:c r="G72" s="95" t="n">
        <x:f>Model!G103</x:f>
        <x:v>5315.385911051857</x:v>
      </x:c>
      <x:c r="H72" s="95" t="n">
        <x:f>Model!H103</x:f>
        <x:v>5349.843249859205</x:v>
      </x:c>
      <x:c r="I72" s="95" t="n">
        <x:f>Model!I103</x:f>
        <x:v>5384.2793831871</x:v>
      </x:c>
      <x:c r="J72" s="95" t="n">
        <x:f>Model!J103</x:f>
        <x:v>5422.186289398712</x:v>
      </x:c>
      <x:c r="K72" s="95" t="n">
        <x:f>Model!K103</x:f>
        <x:v>5460.093195610323</x:v>
      </x:c>
      <x:c r="L72" s="95" t="n">
        <x:f>Model!L103</x:f>
        <x:v>5536.629270687001</x:v>
      </x:c>
      <x:c r="M72" s="95" t="n">
        <x:f>Model!M103</x:f>
        <x:v>5730.834618325775</x:v>
      </x:c>
      <x:c r="N72" s="95" t="n">
        <x:f>Model!N103</x:f>
        <x:v>5998.101829977241</x:v>
      </x:c>
      <x:c r="O72" s="95" t="n">
        <x:f>Model!O103</x:f>
        <x:v>6285.448052702805</x:v>
      </x:c>
    </x:row>
    <x:row r="73" ht="22" customHeight="1">
      <x:c r="C73" s="84" t="str">
        <x:v>Accumulated earnings / deficit</x:v>
      </x:c>
      <x:c r="D73" s="95" t="n">
        <x:f>Model!D104</x:f>
        <x:v>-1156.645120538076</x:v>
      </x:c>
      <x:c r="E73" s="95" t="n">
        <x:f>Model!E104</x:f>
        <x:v>-1119.9811356756873</x:v>
      </x:c>
      <x:c r="F73" s="95" t="n">
        <x:f>Model!F104</x:f>
        <x:v>-1094.5164184440732</x:v>
      </x:c>
      <x:c r="G73" s="95" t="n">
        <x:f>Model!G104</x:f>
        <x:v>-1061.5310720692562</x:v>
      </x:c>
      <x:c r="H73" s="95" t="n">
        <x:f>Model!H104</x:f>
        <x:v>-1021.3721489899407</x:v>
      </x:c>
      <x:c r="I73" s="95" t="n">
        <x:f>Model!I104</x:f>
        <x:v>-972.4447645171883</x:v>
      </x:c>
      <x:c r="J73" s="95" t="n">
        <x:f>Model!J104</x:f>
        <x:v>-909.9800429293824</x:v>
      </x:c>
      <x:c r="K73" s="95" t="n">
        <x:f>Model!K104</x:f>
        <x:v>-840.3809505980058</x:v>
      </x:c>
      <x:c r="L73" s="95" t="n">
        <x:f>Model!L104</x:f>
        <x:v>-678.3975096777162</x:v>
      </x:c>
      <x:c r="M73" s="95" t="n">
        <x:f>Model!M104</x:f>
        <x:v>-233.8350202141196</x:v>
      </x:c>
      <x:c r="N73" s="95" t="n">
        <x:f>Model!N104</x:f>
        <x:v>378.06869326513083</x:v>
      </x:c>
      <x:c r="O73" s="95" t="n">
        <x:f>Model!O104</x:f>
        <x:v>1170.0282083831835</x:v>
      </x:c>
    </x:row>
    <x:row r="74" ht="22" customHeight="1">
      <x:c r="C74" s="84" t="str">
        <x:v>Accumulated other comprehensive income</x:v>
      </x:c>
      <x:c r="D74" s="95" t="n">
        <x:f>Model!D114</x:f>
        <x:v>6.449</x:v>
      </x:c>
      <x:c r="E74" s="95" t="n">
        <x:f>Model!E114</x:f>
        <x:v>6.449</x:v>
      </x:c>
      <x:c r="F74" s="95" t="n">
        <x:f>Model!F114</x:f>
        <x:v>6.449</x:v>
      </x:c>
      <x:c r="G74" s="95" t="n">
        <x:f>Model!G114</x:f>
        <x:v>6.449</x:v>
      </x:c>
      <x:c r="H74" s="95" t="n">
        <x:f>Model!H114</x:f>
        <x:v>6.449</x:v>
      </x:c>
      <x:c r="I74" s="95" t="n">
        <x:f>Model!I114</x:f>
        <x:v>6.449</x:v>
      </x:c>
      <x:c r="J74" s="95" t="n">
        <x:f>Model!J114</x:f>
        <x:v>6.449</x:v>
      </x:c>
      <x:c r="K74" s="95" t="n">
        <x:f>Model!K114</x:f>
        <x:v>6.449</x:v>
      </x:c>
      <x:c r="L74" s="95" t="n">
        <x:f>Model!L114</x:f>
        <x:v>6.449</x:v>
      </x:c>
      <x:c r="M74" s="95" t="n">
        <x:f>Model!M114</x:f>
        <x:v>6.449</x:v>
      </x:c>
      <x:c r="N74" s="95" t="n">
        <x:f>Model!N114</x:f>
        <x:v>6.449</x:v>
      </x:c>
      <x:c r="O74" s="95" t="n">
        <x:f>Model!O114</x:f>
        <x:v>6.449</x:v>
      </x:c>
    </x:row>
    <x:row r="75" ht="22" customHeight="1">
      <x:c r="C75" s="84" t="str">
        <x:v>Common stock and treasury equity</x:v>
      </x:c>
      <x:c r="D75" s="95" t="n">
        <x:f>Model!D115</x:f>
        <x:v>-2.6180000000000963</x:v>
      </x:c>
      <x:c r="E75" s="95" t="n">
        <x:f>Model!E115</x:f>
        <x:v>-2.6180000000000963</x:v>
      </x:c>
      <x:c r="F75" s="95" t="n">
        <x:f>Model!F115</x:f>
        <x:v>-2.6180000000000963</x:v>
      </x:c>
      <x:c r="G75" s="95" t="n">
        <x:f>Model!G115</x:f>
        <x:v>-2.6180000000000963</x:v>
      </x:c>
      <x:c r="H75" s="95" t="n">
        <x:f>Model!H115</x:f>
        <x:v>-2.6180000000000963</x:v>
      </x:c>
      <x:c r="I75" s="95" t="n">
        <x:f>Model!I115</x:f>
        <x:v>-2.6180000000000963</x:v>
      </x:c>
      <x:c r="J75" s="95" t="n">
        <x:f>Model!J115</x:f>
        <x:v>-2.6180000000000963</x:v>
      </x:c>
      <x:c r="K75" s="95" t="n">
        <x:f>Model!K115</x:f>
        <x:v>-2.6180000000000963</x:v>
      </x:c>
      <x:c r="L75" s="95" t="n">
        <x:f>Model!L115</x:f>
        <x:v>-2.6180000000000963</x:v>
      </x:c>
      <x:c r="M75" s="95" t="n">
        <x:f>Model!M115</x:f>
        <x:v>-2.6180000000000963</x:v>
      </x:c>
      <x:c r="N75" s="95" t="n">
        <x:f>Model!N115</x:f>
        <x:v>-2.6180000000000963</x:v>
      </x:c>
      <x:c r="O75" s="95" t="n">
        <x:f>Model!O115</x:f>
        <x:v>-2.6180000000000963</x:v>
      </x:c>
    </x:row>
    <x:row r="76" ht="22" customHeight="1">
      <x:c r="C76" s="84" t="str">
        <x:v>Noncontrolling interests</x:v>
      </x:c>
      <x:c r="D76" s="95" t="n">
        <x:f>Model!D116</x:f>
        <x:v>1.393</x:v>
      </x:c>
      <x:c r="E76" s="95" t="n">
        <x:f>Model!E116</x:f>
        <x:v>1.393</x:v>
      </x:c>
      <x:c r="F76" s="95" t="n">
        <x:f>Model!F116</x:f>
        <x:v>1.393</x:v>
      </x:c>
      <x:c r="G76" s="95" t="n">
        <x:f>Model!G116</x:f>
        <x:v>1.393</x:v>
      </x:c>
      <x:c r="H76" s="95" t="n">
        <x:f>Model!H116</x:f>
        <x:v>1.393</x:v>
      </x:c>
      <x:c r="I76" s="95" t="n">
        <x:f>Model!I116</x:f>
        <x:v>1.393</x:v>
      </x:c>
      <x:c r="J76" s="95" t="n">
        <x:f>Model!J116</x:f>
        <x:v>1.393</x:v>
      </x:c>
      <x:c r="K76" s="95" t="n">
        <x:f>Model!K116</x:f>
        <x:v>1.393</x:v>
      </x:c>
      <x:c r="L76" s="95" t="n">
        <x:f>Model!L116</x:f>
        <x:v>1.393</x:v>
      </x:c>
      <x:c r="M76" s="95" t="n">
        <x:f>Model!M116</x:f>
        <x:v>1.393</x:v>
      </x:c>
      <x:c r="N76" s="95" t="n">
        <x:f>Model!N116</x:f>
        <x:v>1.393</x:v>
      </x:c>
      <x:c r="O76" s="95" t="n">
        <x:f>Model!O116</x:f>
        <x:v>1.393</x:v>
      </x:c>
    </x:row>
    <x:row r="77" ht="22" customHeight="1">
      <x:c r="C77" s="109" t="str">
        <x:v>Total equity</x:v>
      </x:c>
      <x:c r="D77" s="127" t="n">
        <x:f>Model!D118</x:f>
        <x:v>3671.037897469053</x:v>
      </x:c>
      <x:c r="E77" s="127" t="n">
        <x:f>Model!E118</x:f>
        <x:v>3735.9349003385705</x:v>
      </x:c>
      <x:c r="F77" s="127" t="n">
        <x:f>Model!F118</x:f>
        <x:v>3793.567842727002</x:v>
      </x:c>
      <x:c r="G77" s="127" t="n">
        <x:f>Model!G118</x:f>
        <x:v>4259.0788389826</x:v>
      </x:c>
      <x:c r="H77" s="127" t="n">
        <x:f>Model!H118</x:f>
        <x:v>4333.695100869263</x:v>
      </x:c>
      <x:c r="I77" s="127" t="n">
        <x:f>Model!I118</x:f>
        <x:v>4417.058618669911</x:v>
      </x:c>
      <x:c r="J77" s="127" t="n">
        <x:f>Model!J118</x:f>
        <x:v>4517.430246469328</x:v>
      </x:c>
      <x:c r="K77" s="127" t="n">
        <x:f>Model!K118</x:f>
        <x:v>4624.936245012316</x:v>
      </x:c>
      <x:c r="L77" s="127" t="n">
        <x:f>Model!L118</x:f>
        <x:v>4863.455761009284</x:v>
      </x:c>
      <x:c r="M77" s="127" t="n">
        <x:f>Model!M118</x:f>
        <x:v>5502.223598111655</x:v>
      </x:c>
      <x:c r="N77" s="127" t="n">
        <x:f>Model!N118</x:f>
        <x:v>6381.394523242371</x:v>
      </x:c>
      <x:c r="O77" s="127" t="n">
        <x:f>Model!O118</x:f>
        <x:v>7460.700261085988</x:v>
      </x:c>
    </x:row>
    <x:row r="78" ht="22" customHeight="1">
      <x:c r="C78" s="84" t="str">
        <x:v>Balance-sheet difference</x:v>
      </x:c>
      <x:c r="D78" s="95" t="n">
        <x:f>Model!D121</x:f>
        <x:v>9.094947017729282e-13</x:v>
      </x:c>
      <x:c r="E78" s="95" t="n">
        <x:f>Model!E121</x:f>
        <x:v>1.6370904631912708e-11</x:v>
      </x:c>
      <x:c r="F78" s="95" t="n">
        <x:f>Model!F121</x:f>
        <x:v>1.5916157281026244e-11</x:v>
      </x:c>
      <x:c r="G78" s="95" t="n">
        <x:f>Model!G121</x:f>
        <x:v>1.9099388737231493e-11</x:v>
      </x:c>
      <x:c r="H78" s="95" t="n">
        <x:f>Model!H121</x:f>
        <x:v>2.1827872842550278e-11</x:v>
      </x:c>
      <x:c r="I78" s="95" t="n">
        <x:f>Model!I121</x:f>
        <x:v>2.546585164964199e-11</x:v>
      </x:c>
      <x:c r="J78" s="95" t="n">
        <x:f>Model!J121</x:f>
        <x:v>3.637978807091713e-12</x:v>
      </x:c>
      <x:c r="K78" s="95" t="n">
        <x:f>Model!K121</x:f>
        <x:v>1.3642420526593924e-11</x:v>
      </x:c>
      <x:c r="L78" s="95" t="n">
        <x:f>Model!L121</x:f>
        <x:v>1.9099388737231493e-11</x:v>
      </x:c>
      <x:c r="M78" s="95" t="n">
        <x:f>Model!M121</x:f>
        <x:v>5.729816621169448e-11</x:v>
      </x:c>
      <x:c r="N78" s="95" t="n">
        <x:f>Model!N121</x:f>
        <x:v>3.001332515850663e-11</x:v>
      </x:c>
      <x:c r="O78" s="95" t="n">
        <x:f>Model!O121</x:f>
        <x:v>6.275513442233205e-11</x:v>
      </x:c>
    </x:row>
    <x:row r="79" ht="22" customHeight="1">
      <x:c r="C79" s="69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</x:row>
    <x:row r="80" ht="22" customHeight="1">
      <x:c r="C80" s="69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</x:row>
    <x:row r="81" ht="22" customHeight="1">
      <x:c r="C81" s="69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</x:row>
    <x:row r="82" ht="22" customHeight="1">
      <x:c r="C82" s="84" t="str">
        <x:v>Custody financing and reserve asset changes are shown in Model and net to zero corporate available cash.</x:v>
      </x:c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</x:row>
    <x:row r="83" ht="22" customHeight="1">
      <x:c r="C83" s="69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</x:row>
    <x:row r="84" ht="22" customHeight="1">
      <x:c r="C84" s="69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</x:row>
    <x:row r="85" ht="22" customHeight="1">
      <x:c r="C85" s="69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</x:row>
    <x:row r="86" ht="22" customHeight="1">
      <x:c r="C86" s="69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</x:row>
    <x:row r="87" ht="22" customHeight="1">
      <x:c r="C87" s="69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</x:row>
    <x:row r="88" ht="22" customHeight="1">
      <x:c r="C88" s="69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</x:row>
    <x:row r="89" ht="22" customHeight="1">
      <x:c r="C89" s="69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</x:row>
    <x:row r="90" ht="22" customHeight="1">
      <x:c r="C90" s="69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</x:row>
    <x:row r="91" ht="22" customHeight="1">
      <x:c r="C91" s="69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</x:row>
    <x:row r="92" ht="22" customHeight="1">
      <x:c r="C92" s="69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</x:row>
    <x:row r="93" ht="22" customHeight="1">
      <x:c r="C93" s="69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</x:row>
    <x:row r="94" ht="22" customHeight="1">
      <x:c r="C94" s="69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</x:row>
    <x:row r="95" ht="22" customHeight="1">
      <x:c r="C95" s="69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</x:row>
    <x:row r="96" ht="22" customHeight="1">
      <x:c r="C96" s="69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</x:row>
    <x:row r="97" ht="22" customHeight="1">
      <x:c r="C97" s="69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</x:row>
    <x:row r="98" ht="22" customHeight="1">
      <x:c r="C98" s="69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</x:row>
    <x:row r="99" ht="22" customHeight="1">
      <x:c r="C99" s="69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</x:row>
    <x:row r="100" ht="22" customHeight="1">
      <x:c r="C100" s="69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</x:row>
    <x:row r="101" ht="22" customHeight="1">
      <x:c r="C101" s="69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</x:row>
    <x:row r="102" ht="22" customHeight="1">
      <x:c r="C102" s="69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</x:row>
  </x:sheetData>
  <x:conditionalFormatting sqref="D9:O9">
    <x:cfRule type="cellIs" dxfId="97" priority="1" operator="greaterThan">
      <x:formula>0</x:formula>
    </x:cfRule>
    <x:cfRule type="cellIs" dxfId="98" priority="2" operator="lessThan">
      <x:formula>0</x:formula>
    </x:cfRule>
  </x:conditionalFormatting>
  <x:conditionalFormatting sqref="D10:O10">
    <x:cfRule type="cellIs" dxfId="99" priority="3" operator="greaterThan">
      <x:formula>0</x:formula>
    </x:cfRule>
    <x:cfRule type="cellIs" dxfId="100" priority="4" operator="lessThan">
      <x:formula>0</x:formula>
    </x:cfRule>
  </x:conditionalFormatting>
  <x:conditionalFormatting sqref="D11:O11">
    <x:cfRule type="cellIs" dxfId="101" priority="5" operator="greaterThan">
      <x:formula>0</x:formula>
    </x:cfRule>
    <x:cfRule type="cellIs" dxfId="102" priority="6" operator="lessThan">
      <x:formula>0</x:formula>
    </x:cfRule>
  </x:conditionalFormatting>
  <x:conditionalFormatting sqref="D12:O12">
    <x:cfRule type="cellIs" dxfId="103" priority="7" operator="greaterThan">
      <x:formula>0</x:formula>
    </x:cfRule>
    <x:cfRule type="cellIs" dxfId="104" priority="8" operator="lessThan">
      <x:formula>0</x:formula>
    </x:cfRule>
  </x:conditionalFormatting>
  <x:conditionalFormatting sqref="D13:O13">
    <x:cfRule type="cellIs" dxfId="105" priority="9" operator="greaterThan">
      <x:formula>0</x:formula>
    </x:cfRule>
    <x:cfRule type="cellIs" dxfId="106" priority="10" operator="lessThan">
      <x:formula>0</x:formula>
    </x:cfRule>
  </x:conditionalFormatting>
  <x:conditionalFormatting sqref="D14:O14">
    <x:cfRule type="cellIs" dxfId="107" priority="11" operator="greaterThan">
      <x:formula>0</x:formula>
    </x:cfRule>
    <x:cfRule type="cellIs" dxfId="108" priority="12" operator="lessThan">
      <x:formula>0</x:formula>
    </x:cfRule>
  </x:conditionalFormatting>
  <x:conditionalFormatting sqref="D15:O15">
    <x:cfRule type="cellIs" dxfId="109" priority="13" operator="greaterThan">
      <x:formula>0</x:formula>
    </x:cfRule>
    <x:cfRule type="cellIs" dxfId="110" priority="14" operator="lessThan">
      <x:formula>0</x:formula>
    </x:cfRule>
  </x:conditionalFormatting>
  <x:conditionalFormatting sqref="D16:O16">
    <x:cfRule type="cellIs" dxfId="111" priority="15" operator="greaterThan">
      <x:formula>0</x:formula>
    </x:cfRule>
    <x:cfRule type="cellIs" dxfId="112" priority="16" operator="lessThan">
      <x:formula>0</x:formula>
    </x:cfRule>
  </x:conditionalFormatting>
  <x:conditionalFormatting sqref="D17:O17">
    <x:cfRule type="cellIs" dxfId="113" priority="17" operator="greaterThan">
      <x:formula>0</x:formula>
    </x:cfRule>
    <x:cfRule type="cellIs" dxfId="114" priority="18" operator="lessThan">
      <x:formula>0</x:formula>
    </x:cfRule>
  </x:conditionalFormatting>
  <x:conditionalFormatting sqref="D18:O18">
    <x:cfRule type="cellIs" dxfId="115" priority="19" operator="greaterThan">
      <x:formula>0</x:formula>
    </x:cfRule>
    <x:cfRule type="cellIs" dxfId="116" priority="20" operator="lessThan">
      <x:formula>0</x:formula>
    </x:cfRule>
  </x:conditionalFormatting>
  <x:conditionalFormatting sqref="D19:O19">
    <x:cfRule type="cellIs" dxfId="117" priority="21" operator="greaterThan">
      <x:formula>0</x:formula>
    </x:cfRule>
    <x:cfRule type="cellIs" dxfId="118" priority="22" operator="lessThan">
      <x:formula>0</x:formula>
    </x:cfRule>
  </x:conditionalFormatting>
  <x:conditionalFormatting sqref="D20:O20">
    <x:cfRule type="cellIs" dxfId="119" priority="23" operator="greaterThan">
      <x:formula>0</x:formula>
    </x:cfRule>
    <x:cfRule type="cellIs" dxfId="120" priority="24" operator="lessThan">
      <x:formula>0</x:formula>
    </x:cfRule>
  </x:conditionalFormatting>
  <x:conditionalFormatting sqref="D21:O21">
    <x:cfRule type="cellIs" dxfId="121" priority="25" operator="greaterThan">
      <x:formula>0</x:formula>
    </x:cfRule>
    <x:cfRule type="cellIs" dxfId="122" priority="26" operator="lessThan">
      <x:formula>0</x:formula>
    </x:cfRule>
  </x:conditionalFormatting>
  <x:conditionalFormatting sqref="D22:O22">
    <x:cfRule type="cellIs" dxfId="123" priority="27" operator="greaterThan">
      <x:formula>0</x:formula>
    </x:cfRule>
    <x:cfRule type="cellIs" dxfId="124" priority="28" operator="lessThan">
      <x:formula>0</x:formula>
    </x:cfRule>
  </x:conditionalFormatting>
  <x:conditionalFormatting sqref="D23:O23">
    <x:cfRule type="cellIs" dxfId="125" priority="29" operator="greaterThan">
      <x:formula>0</x:formula>
    </x:cfRule>
    <x:cfRule type="cellIs" dxfId="126" priority="30" operator="lessThan">
      <x:formula>0</x:formula>
    </x:cfRule>
  </x:conditionalFormatting>
  <x:conditionalFormatting sqref="D24:O24">
    <x:cfRule type="cellIs" dxfId="127" priority="31" operator="greaterThan">
      <x:formula>0</x:formula>
    </x:cfRule>
    <x:cfRule type="cellIs" dxfId="128" priority="32" operator="lessThan">
      <x:formula>0</x:formula>
    </x:cfRule>
  </x:conditionalFormatting>
  <x:conditionalFormatting sqref="D25:O25">
    <x:cfRule type="cellIs" dxfId="129" priority="33" operator="greaterThan">
      <x:formula>0</x:formula>
    </x:cfRule>
    <x:cfRule type="cellIs" dxfId="130" priority="34" operator="lessThan">
      <x:formula>0</x:formula>
    </x:cfRule>
  </x:conditionalFormatting>
  <x:conditionalFormatting sqref="D26:O26">
    <x:cfRule type="cellIs" dxfId="131" priority="35" operator="greaterThan">
      <x:formula>0</x:formula>
    </x:cfRule>
    <x:cfRule type="cellIs" dxfId="132" priority="36" operator="lessThan">
      <x:formula>0</x:formula>
    </x:cfRule>
  </x:conditionalFormatting>
  <x:conditionalFormatting sqref="D27:O27">
    <x:cfRule type="cellIs" dxfId="133" priority="37" operator="greaterThan">
      <x:formula>0</x:formula>
    </x:cfRule>
    <x:cfRule type="cellIs" dxfId="134" priority="38" operator="lessThan">
      <x:formula>0</x:formula>
    </x:cfRule>
  </x:conditionalFormatting>
  <x:conditionalFormatting sqref="D31:O31">
    <x:cfRule type="cellIs" dxfId="135" priority="39" operator="greaterThan">
      <x:formula>0</x:formula>
    </x:cfRule>
    <x:cfRule type="cellIs" dxfId="136" priority="40" operator="lessThan">
      <x:formula>0</x:formula>
    </x:cfRule>
  </x:conditionalFormatting>
  <x:conditionalFormatting sqref="D32:O32">
    <x:cfRule type="cellIs" dxfId="137" priority="41" operator="greaterThan">
      <x:formula>0</x:formula>
    </x:cfRule>
    <x:cfRule type="cellIs" dxfId="138" priority="42" operator="lessThan">
      <x:formula>0</x:formula>
    </x:cfRule>
  </x:conditionalFormatting>
  <x:conditionalFormatting sqref="D33:O33">
    <x:cfRule type="cellIs" dxfId="139" priority="43" operator="greaterThan">
      <x:formula>0</x:formula>
    </x:cfRule>
    <x:cfRule type="cellIs" dxfId="140" priority="44" operator="lessThan">
      <x:formula>0</x:formula>
    </x:cfRule>
  </x:conditionalFormatting>
  <x:conditionalFormatting sqref="D34:O34">
    <x:cfRule type="cellIs" dxfId="141" priority="45" operator="greaterThan">
      <x:formula>0</x:formula>
    </x:cfRule>
    <x:cfRule type="cellIs" dxfId="142" priority="46" operator="lessThan">
      <x:formula>0</x:formula>
    </x:cfRule>
  </x:conditionalFormatting>
  <x:conditionalFormatting sqref="D36:O36">
    <x:cfRule type="cellIs" dxfId="143" priority="47" operator="greaterThan">
      <x:formula>0</x:formula>
    </x:cfRule>
    <x:cfRule type="cellIs" dxfId="144" priority="48" operator="lessThan">
      <x:formula>0</x:formula>
    </x:cfRule>
  </x:conditionalFormatting>
  <x:conditionalFormatting sqref="D37:O37">
    <x:cfRule type="cellIs" dxfId="145" priority="49" operator="greaterThan">
      <x:formula>0</x:formula>
    </x:cfRule>
    <x:cfRule type="cellIs" dxfId="146" priority="50" operator="lessThan">
      <x:formula>0</x:formula>
    </x:cfRule>
  </x:conditionalFormatting>
  <x:conditionalFormatting sqref="D38:O38">
    <x:cfRule type="cellIs" dxfId="147" priority="51" operator="greaterThan">
      <x:formula>0</x:formula>
    </x:cfRule>
    <x:cfRule type="cellIs" dxfId="148" priority="52" operator="lessThan">
      <x:formula>0</x:formula>
    </x:cfRule>
  </x:conditionalFormatting>
  <x:conditionalFormatting sqref="D39:O39">
    <x:cfRule type="cellIs" dxfId="149" priority="53" operator="greaterThan">
      <x:formula>0</x:formula>
    </x:cfRule>
    <x:cfRule type="cellIs" dxfId="150" priority="54" operator="lessThan">
      <x:formula>0</x:formula>
    </x:cfRule>
  </x:conditionalFormatting>
  <x:conditionalFormatting sqref="D40:O40">
    <x:cfRule type="cellIs" dxfId="151" priority="55" operator="greaterThan">
      <x:formula>0</x:formula>
    </x:cfRule>
    <x:cfRule type="cellIs" dxfId="152" priority="56" operator="lessThan">
      <x:formula>0</x:formula>
    </x:cfRule>
  </x:conditionalFormatting>
  <x:conditionalFormatting sqref="D41:O41">
    <x:cfRule type="cellIs" dxfId="153" priority="57" operator="greaterThan">
      <x:formula>0</x:formula>
    </x:cfRule>
    <x:cfRule type="cellIs" dxfId="154" priority="58" operator="lessThan">
      <x:formula>0</x:formula>
    </x:cfRule>
  </x:conditionalFormatting>
  <x:conditionalFormatting sqref="D42:O42">
    <x:cfRule type="cellIs" dxfId="155" priority="59" operator="greaterThan">
      <x:formula>0</x:formula>
    </x:cfRule>
    <x:cfRule type="cellIs" dxfId="156" priority="60" operator="lessThan">
      <x:formula>0</x:formula>
    </x:cfRule>
  </x:conditionalFormatting>
  <x:conditionalFormatting sqref="D43:O43">
    <x:cfRule type="cellIs" dxfId="157" priority="61" operator="greaterThan">
      <x:formula>0</x:formula>
    </x:cfRule>
    <x:cfRule type="cellIs" dxfId="158" priority="62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9070D4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</x:row>
    <x:row r="2" ht="22" customHeight="1">
      <x:c r="C2" s="81" t="str">
        <x:v>Operating and cash-flow build</x:v>
      </x:c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 ht="22" customHeight="1"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</x:row>
    <x:row r="4" ht="22" customHeight="1">
      <x:c r="C4" s="84" t="str">
        <x:v>Case selected</x:v>
      </x:c>
      <x:c r="D4" s="86" t="str">
        <x:f>Assumptions!$E$4</x:f>
        <x:v>Base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ht="22" customHeight="1">
      <x:c r="C5" s="87" t="str">
        <x:v>USD M; shares M; per-share USD</x:v>
      </x:c>
      <x:c r="D5" s="136" t="d">
        <x:v>2026-07-01T00:00:00.000Z</x:v>
      </x:c>
      <x:c r="E5" s="136" t="d">
        <x:v>2026-10-01T00:00:00.000Z</x:v>
      </x:c>
      <x:c r="F5" s="136" t="d">
        <x:v>2027-01-01T00:00:00.000Z</x:v>
      </x:c>
      <x:c r="G5" s="136" t="d">
        <x:v>2027-04-01T00:00:00.000Z</x:v>
      </x:c>
      <x:c r="H5" s="136" t="d">
        <x:v>2027-07-01T00:00:00.000Z</x:v>
      </x:c>
      <x:c r="I5" s="136" t="d">
        <x:v>2027-10-01T00:00:00.000Z</x:v>
      </x:c>
      <x:c r="J5" s="136" t="d">
        <x:v>2028-01-01T00:00:00.000Z</x:v>
      </x:c>
      <x:c r="K5" s="136" t="d">
        <x:v>2028-04-01T00:00:00.000Z</x:v>
      </x:c>
      <x:c r="L5" s="136" t="d">
        <x:v>2028-07-01T00:00:00.000Z</x:v>
      </x:c>
      <x:c r="M5" s="136" t="d">
        <x:v>2029-01-01T00:00:00.000Z</x:v>
      </x:c>
      <x:c r="N5" s="136" t="d">
        <x:v>2030-01-01T00:00:00.000Z</x:v>
      </x:c>
      <x:c r="O5" s="136" t="d">
        <x:v>2031-01-01T00:00:00.000Z</x:v>
      </x:c>
    </x:row>
    <x:row r="6" ht="22" customHeight="1">
      <x:c r="C6" s="107"/>
      <x:c r="D6" s="107" t="str">
        <x:v>Q3:26</x:v>
      </x:c>
      <x:c r="E6" s="107" t="str">
        <x:v>Q4:26</x:v>
      </x:c>
      <x:c r="F6" s="107" t="str">
        <x:v>Q1:27</x:v>
      </x:c>
      <x:c r="G6" s="107" t="str">
        <x:v>Q2:27</x:v>
      </x:c>
      <x:c r="H6" s="107" t="str">
        <x:v>Q3:27</x:v>
      </x:c>
      <x:c r="I6" s="107" t="str">
        <x:v>Q4:27</x:v>
      </x:c>
      <x:c r="J6" s="107" t="str">
        <x:v>Q1:28</x:v>
      </x:c>
      <x:c r="K6" s="107" t="str">
        <x:v>Q2:28</x:v>
      </x:c>
      <x:c r="L6" s="107" t="str">
        <x:v>H2:28</x:v>
      </x:c>
      <x:c r="M6" s="107" t="str">
        <x:v>FY:29</x:v>
      </x:c>
      <x:c r="N6" s="107" t="str">
        <x:v>FY:30</x:v>
      </x:c>
      <x:c r="O6" s="107" t="str">
        <x:v>FY:31</x:v>
      </x:c>
    </x:row>
    <x:row r="7" ht="22" customHeight="1">
      <x:c r="C7" s="69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</x:row>
    <x:row r="8" ht="22" customHeight="1">
      <x:c r="C8" s="84" t="str">
        <x:v>Days</x:v>
      </x:c>
      <x:c r="D8" s="95" t="n">
        <x:f>92</x:f>
        <x:v>92</x:v>
      </x:c>
      <x:c r="E8" s="95" t="n">
        <x:f>92</x:f>
        <x:v>92</x:v>
      </x:c>
      <x:c r="F8" s="95" t="n">
        <x:f>90</x:f>
        <x:v>90</x:v>
      </x:c>
      <x:c r="G8" s="95" t="n">
        <x:f>91</x:f>
        <x:v>91</x:v>
      </x:c>
      <x:c r="H8" s="95" t="n">
        <x:f>92</x:f>
        <x:v>92</x:v>
      </x:c>
      <x:c r="I8" s="95" t="n">
        <x:f>92</x:f>
        <x:v>92</x:v>
      </x:c>
      <x:c r="J8" s="95" t="n">
        <x:f>91</x:f>
        <x:v>91</x:v>
      </x:c>
      <x:c r="K8" s="95" t="n">
        <x:f>91</x:f>
        <x:v>91</x:v>
      </x:c>
      <x:c r="L8" s="95" t="n">
        <x:f>184</x:f>
        <x:v>184</x:v>
      </x:c>
      <x:c r="M8" s="95" t="n">
        <x:f>365</x:f>
        <x:v>365</x:v>
      </x:c>
      <x:c r="N8" s="95" t="n">
        <x:f>365</x:f>
        <x:v>365</x:v>
      </x:c>
      <x:c r="O8" s="95" t="n">
        <x:f>365</x:f>
        <x:v>365</x:v>
      </x:c>
    </x:row>
    <x:row r="9" ht="22" customHeight="1">
      <x:c r="C9" s="87" t="str">
        <x:v>ACT/365 fraction</x:v>
      </x:c>
      <x:c r="D9" s="138" t="n">
        <x:f>D8/365</x:f>
        <x:v>0.25205479452054796</x:v>
      </x:c>
      <x:c r="E9" s="138" t="n">
        <x:f>E8/365</x:f>
        <x:v>0.25205479452054796</x:v>
      </x:c>
      <x:c r="F9" s="138" t="n">
        <x:f>F8/365</x:f>
        <x:v>0.2465753424657534</x:v>
      </x:c>
      <x:c r="G9" s="138" t="n">
        <x:f>G8/365</x:f>
        <x:v>0.2493150684931507</x:v>
      </x:c>
      <x:c r="H9" s="138" t="n">
        <x:f>H8/365</x:f>
        <x:v>0.25205479452054796</x:v>
      </x:c>
      <x:c r="I9" s="138" t="n">
        <x:f>I8/365</x:f>
        <x:v>0.25205479452054796</x:v>
      </x:c>
      <x:c r="J9" s="138" t="n">
        <x:f>J8/365</x:f>
        <x:v>0.2493150684931507</x:v>
      </x:c>
      <x:c r="K9" s="138" t="n">
        <x:f>K8/365</x:f>
        <x:v>0.2493150684931507</x:v>
      </x:c>
      <x:c r="L9" s="138" t="n">
        <x:f>L8/365</x:f>
        <x:v>0.5041095890410959</x:v>
      </x:c>
      <x:c r="M9" s="138" t="n">
        <x:f>M8/365</x:f>
        <x:v>1</x:v>
      </x:c>
      <x:c r="N9" s="138" t="n">
        <x:f>N8/365</x:f>
        <x:v>1</x:v>
      </x:c>
      <x:c r="O9" s="138" t="n">
        <x:f>O8/365</x:f>
        <x:v>1</x:v>
      </x:c>
    </x:row>
    <x:row r="10" ht="22" customHeight="1">
      <x:c r="C10" s="84" t="str">
        <x:v>Elapsed years, opening</x:v>
      </x:c>
      <x:c r="D10" s="95" t="n">
        <x:f>0</x:f>
        <x:v>0</x:v>
      </x:c>
      <x:c r="E10" s="95" t="n">
        <x:f>D11</x:f>
        <x:v>0.25205479452054796</x:v>
      </x:c>
      <x:c r="F10" s="95" t="n">
        <x:f>E11</x:f>
        <x:v>0.5041095890410959</x:v>
      </x:c>
      <x:c r="G10" s="95" t="n">
        <x:f>F11</x:f>
        <x:v>0.7506849315068493</x:v>
      </x:c>
      <x:c r="H10" s="95" t="n">
        <x:f>G11</x:f>
        <x:v>1</x:v>
      </x:c>
      <x:c r="I10" s="95" t="n">
        <x:f>H11</x:f>
        <x:v>1.252054794520548</x:v>
      </x:c>
      <x:c r="J10" s="95" t="n">
        <x:f>I11</x:f>
        <x:v>1.504109589041096</x:v>
      </x:c>
      <x:c r="K10" s="95" t="n">
        <x:f>J11</x:f>
        <x:v>1.7534246575342467</x:v>
      </x:c>
      <x:c r="L10" s="95" t="n">
        <x:f>K11</x:f>
        <x:v>2.0027397260273974</x:v>
      </x:c>
      <x:c r="M10" s="95" t="n">
        <x:f>L11</x:f>
        <x:v>2.5068493150684934</x:v>
      </x:c>
      <x:c r="N10" s="95" t="n">
        <x:f>M11</x:f>
        <x:v>3.5068493150684934</x:v>
      </x:c>
      <x:c r="O10" s="95" t="n">
        <x:f>N11</x:f>
        <x:v>4.506849315068493</x:v>
      </x:c>
    </x:row>
    <x:row r="11" ht="22" customHeight="1">
      <x:c r="C11" s="84" t="str">
        <x:v>Elapsed years, closing</x:v>
      </x:c>
      <x:c r="D11" s="95" t="n">
        <x:f>D10+D9</x:f>
        <x:v>0.25205479452054796</x:v>
      </x:c>
      <x:c r="E11" s="95" t="n">
        <x:f>E10+E9</x:f>
        <x:v>0.5041095890410959</x:v>
      </x:c>
      <x:c r="F11" s="95" t="n">
        <x:f>F10+F9</x:f>
        <x:v>0.7506849315068493</x:v>
      </x:c>
      <x:c r="G11" s="95" t="n">
        <x:f>G10+G9</x:f>
        <x:v>1</x:v>
      </x:c>
      <x:c r="H11" s="95" t="n">
        <x:f>H10+H9</x:f>
        <x:v>1.252054794520548</x:v>
      </x:c>
      <x:c r="I11" s="95" t="n">
        <x:f>I10+I9</x:f>
        <x:v>1.504109589041096</x:v>
      </x:c>
      <x:c r="J11" s="95" t="n">
        <x:f>J10+J9</x:f>
        <x:v>1.7534246575342467</x:v>
      </x:c>
      <x:c r="K11" s="95" t="n">
        <x:f>K10+K9</x:f>
        <x:v>2.0027397260273974</x:v>
      </x:c>
      <x:c r="L11" s="95" t="n">
        <x:f>L10+L9</x:f>
        <x:v>2.5068493150684934</x:v>
      </x:c>
      <x:c r="M11" s="95" t="n">
        <x:f>M10+M9</x:f>
        <x:v>3.5068493150684934</x:v>
      </x:c>
      <x:c r="N11" s="95" t="n">
        <x:f>N10+N9</x:f>
        <x:v>4.506849315068493</x:v>
      </x:c>
      <x:c r="O11" s="95" t="n">
        <x:f>O10+O9</x:f>
        <x:v>5.506849315068493</x:v>
      </x:c>
    </x:row>
    <x:row r="12" ht="22" customHeight="1">
      <x:c r="C12" s="87" t="str">
        <x:v>Annual USDC growth</x:v>
      </x:c>
      <x:c r="D12" s="138" t="n">
        <x:f>Assumptions!D8</x:f>
        <x:v>0.15</x:v>
      </x:c>
      <x:c r="E12" s="138" t="n">
        <x:f>IF(Valuation!$E$10=-1,Assumptions!E8,IF(AND(ISNUMBER(Valuation!$E$10),Valuation!$E$10&gt;-1,Valuation!$E$10&lt;=1),Valuation!$E$10,NA()))</x:f>
        <x:v>0.15</x:v>
      </x:c>
      <x:c r="F12" s="138" t="n">
        <x:f>IF(Valuation!$E$10=-1,Assumptions!F8,IF(AND(ISNUMBER(Valuation!$E$10),Valuation!$E$10&gt;-1,Valuation!$E$10&lt;=1),Valuation!$E$10,NA()))</x:f>
        <x:v>0.25</x:v>
      </x:c>
      <x:c r="G12" s="138" t="n">
        <x:f>IF(Valuation!$E$10=-1,Assumptions!G8,IF(AND(ISNUMBER(Valuation!$E$10),Valuation!$E$10&gt;-1,Valuation!$E$10&lt;=1),Valuation!$E$10,NA()))</x:f>
        <x:v>0.25</x:v>
      </x:c>
      <x:c r="H12" s="138" t="n">
        <x:f>IF(Valuation!$E$10=-1,Assumptions!H8,IF(AND(ISNUMBER(Valuation!$E$10),Valuation!$E$10&gt;-1,Valuation!$E$10&lt;=1),Valuation!$E$10,NA()))</x:f>
        <x:v>0.25</x:v>
      </x:c>
      <x:c r="I12" s="138" t="n">
        <x:f>IF(Valuation!$E$10=-1,Assumptions!I8,IF(AND(ISNUMBER(Valuation!$E$10),Valuation!$E$10&gt;-1,Valuation!$E$10&lt;=1),Valuation!$E$10,NA()))</x:f>
        <x:v>0.25</x:v>
      </x:c>
      <x:c r="J12" s="138" t="n">
        <x:f>IF(Valuation!$E$10=-1,Assumptions!J8,IF(AND(ISNUMBER(Valuation!$E$10),Valuation!$E$10&gt;-1,Valuation!$E$10&lt;=1),Valuation!$E$10,NA()))</x:f>
        <x:v>0.2</x:v>
      </x:c>
      <x:c r="K12" s="138" t="n">
        <x:f>IF(Valuation!$E$10=-1,Assumptions!K8,IF(AND(ISNUMBER(Valuation!$E$10),Valuation!$E$10&gt;-1,Valuation!$E$10&lt;=1),Valuation!$E$10,NA()))</x:f>
        <x:v>0.2</x:v>
      </x:c>
      <x:c r="L12" s="138" t="n">
        <x:f>IF(Valuation!$E$10=-1,Assumptions!L8,IF(AND(ISNUMBER(Valuation!$E$10),Valuation!$E$10&gt;-1,Valuation!$E$10&lt;=1),Valuation!$E$10,NA()))</x:f>
        <x:v>0.2</x:v>
      </x:c>
      <x:c r="M12" s="138" t="n">
        <x:f>IF(Valuation!$E$10=-1,Assumptions!M8,IF(AND(ISNUMBER(Valuation!$E$10),Valuation!$E$10&gt;-1,Valuation!$E$10&lt;=1),Valuation!$E$10,NA()))</x:f>
        <x:v>0.17</x:v>
      </x:c>
      <x:c r="N12" s="138" t="n">
        <x:f>IF(Valuation!$E$10=-1,Assumptions!N8,IF(AND(ISNUMBER(Valuation!$E$10),Valuation!$E$10&gt;-1,Valuation!$E$10&lt;=1),Valuation!$E$10,NA()))</x:f>
        <x:v>0.14</x:v>
      </x:c>
      <x:c r="O12" s="138" t="n">
        <x:f>IF(Valuation!$E$10=-1,Assumptions!O8,IF(AND(ISNUMBER(Valuation!$E$10),Valuation!$E$10&gt;-1,Valuation!$E$10&lt;=1),Valuation!$E$10,NA()))</x:f>
        <x:v>0.12</x:v>
      </x:c>
    </x:row>
    <x:row r="13" ht="22" customHeight="1">
      <x:c r="C13" s="87" t="str">
        <x:v>Reserve yield</x:v>
      </x:c>
      <x:c r="D13" s="138" t="n">
        <x:f>Assumptions!D13</x:f>
        <x:v>0.035</x:v>
      </x:c>
      <x:c r="E13" s="138" t="n">
        <x:f>Assumptions!E13</x:f>
        <x:v>0.035</x:v>
      </x:c>
      <x:c r="F13" s="138" t="n">
        <x:f>Assumptions!F13</x:f>
        <x:v>0.031</x:v>
      </x:c>
      <x:c r="G13" s="138" t="n">
        <x:f>Assumptions!G13</x:f>
        <x:v>0.031</x:v>
      </x:c>
      <x:c r="H13" s="138" t="n">
        <x:f>Assumptions!H13</x:f>
        <x:v>0.031</x:v>
      </x:c>
      <x:c r="I13" s="138" t="n">
        <x:f>Assumptions!I13</x:f>
        <x:v>0.031</x:v>
      </x:c>
      <x:c r="J13" s="138" t="n">
        <x:f>Assumptions!J13</x:f>
        <x:v>0.03</x:v>
      </x:c>
      <x:c r="K13" s="138" t="n">
        <x:f>Assumptions!K13</x:f>
        <x:v>0.03</x:v>
      </x:c>
      <x:c r="L13" s="138" t="n">
        <x:f>Assumptions!L13</x:f>
        <x:v>0.03</x:v>
      </x:c>
      <x:c r="M13" s="138" t="n">
        <x:f>Assumptions!M13</x:f>
        <x:v>0.03</x:v>
      </x:c>
      <x:c r="N13" s="138" t="n">
        <x:f>Assumptions!N13</x:f>
        <x:v>0.03</x:v>
      </x:c>
      <x:c r="O13" s="138" t="n">
        <x:f>Assumptions!O13</x:f>
        <x:v>0.03</x:v>
      </x:c>
    </x:row>
    <x:row r="14" ht="22" customHeight="1">
      <x:c r="C14" s="87" t="str">
        <x:v>Reserve income retention</x:v>
      </x:c>
      <x:c r="D14" s="138" t="n">
        <x:f>Assumptions!D18</x:f>
        <x:v>0.385361902</x:v>
      </x:c>
      <x:c r="E14" s="138" t="n">
        <x:f>Assumptions!E18</x:f>
        <x:v>0.385361902</x:v>
      </x:c>
      <x:c r="F14" s="138" t="n">
        <x:f>Assumptions!F18</x:f>
        <x:v>0.395</x:v>
      </x:c>
      <x:c r="G14" s="138" t="n">
        <x:f>Assumptions!G18</x:f>
        <x:v>0.395</x:v>
      </x:c>
      <x:c r="H14" s="138" t="n">
        <x:f>Assumptions!H18</x:f>
        <x:v>0.395</x:v>
      </x:c>
      <x:c r="I14" s="138" t="n">
        <x:f>Assumptions!I18</x:f>
        <x:v>0.395</x:v>
      </x:c>
      <x:c r="J14" s="138" t="n">
        <x:f>Assumptions!J18</x:f>
        <x:v>0.405</x:v>
      </x:c>
      <x:c r="K14" s="138" t="n">
        <x:f>Assumptions!K18</x:f>
        <x:v>0.405</x:v>
      </x:c>
      <x:c r="L14" s="138" t="n">
        <x:f>Assumptions!L18</x:f>
        <x:v>0.405</x:v>
      </x:c>
      <x:c r="M14" s="138" t="n">
        <x:f>Assumptions!M18</x:f>
        <x:v>0.415</x:v>
      </x:c>
      <x:c r="N14" s="138" t="n">
        <x:f>Assumptions!N18</x:f>
        <x:v>0.42</x:v>
      </x:c>
      <x:c r="O14" s="138" t="n">
        <x:f>Assumptions!O18</x:f>
        <x:v>0.425</x:v>
      </x:c>
    </x:row>
    <x:row r="15" ht="22" customHeight="1">
      <x:c r="C15" s="84" t="str">
        <x:v>Opening USDC circulation</x:v>
      </x:c>
      <x:c r="D15" s="95" t="n">
        <x:f>Sources!$D$33</x:f>
        <x:v>73269</x:v>
      </x:c>
      <x:c r="E15" s="95" t="n">
        <x:f>D16</x:f>
        <x:v>75896.09756472346</x:v>
      </x:c>
      <x:c r="F15" s="95" t="n">
        <x:f>E16</x:f>
        <x:v>78617.39105971176</x:v>
      </x:c>
      <x:c r="G15" s="95" t="n">
        <x:f>F16</x:f>
        <x:v>83064.26894883897</x:v>
      </x:c>
      <x:c r="H15" s="95" t="n">
        <x:f>G16</x:f>
        <x:v>87816.34830014587</x:v>
      </x:c>
      <x:c r="I15" s="95" t="n">
        <x:f>H16</x:f>
        <x:v>92897.06800909017</x:v>
      </x:c>
      <x:c r="J15" s="95" t="n">
        <x:f>I16</x:f>
        <x:v>98271.73882463969</x:v>
      </x:c>
      <x:c r="K15" s="95" t="n">
        <x:f>J16</x:f>
        <x:v>102841.81160413372</x:v>
      </x:c>
      <x:c r="L15" s="95" t="n">
        <x:f>K16</x:f>
        <x:v>107624.41308678973</x:v>
      </x:c>
      <x:c r="M15" s="95" t="n">
        <x:f>L16</x:f>
        <x:v>117985.00669490769</x:v>
      </x:c>
      <x:c r="N15" s="95" t="n">
        <x:f>M16</x:f>
        <x:v>138042.457833042</x:v>
      </x:c>
      <x:c r="O15" s="95" t="n">
        <x:f>N16</x:f>
        <x:v>157368.4019296679</x:v>
      </x:c>
    </x:row>
    <x:row r="16" ht="22" customHeight="1">
      <x:c r="C16" s="84" t="str">
        <x:v>Closing USDC circulation</x:v>
      </x:c>
      <x:c r="D16" s="95" t="n">
        <x:f>D15*(1+D12)^D9</x:f>
        <x:v>75896.09756472346</x:v>
      </x:c>
      <x:c r="E16" s="95" t="n">
        <x:f>E15*(1+E12)^E9</x:f>
        <x:v>78617.39105971176</x:v>
      </x:c>
      <x:c r="F16" s="95" t="n">
        <x:f>F15*(1+F12)^F9</x:f>
        <x:v>83064.26894883897</x:v>
      </x:c>
      <x:c r="G16" s="95" t="n">
        <x:f>G15*(1+G12)^G9</x:f>
        <x:v>87816.34830014587</x:v>
      </x:c>
      <x:c r="H16" s="95" t="n">
        <x:f>H15*(1+H12)^H9</x:f>
        <x:v>92897.06800909017</x:v>
      </x:c>
      <x:c r="I16" s="95" t="n">
        <x:f>I15*(1+I12)^I9</x:f>
        <x:v>98271.73882463969</x:v>
      </x:c>
      <x:c r="J16" s="95" t="n">
        <x:f>J15*(1+J12)^J9</x:f>
        <x:v>102841.81160413372</x:v>
      </x:c>
      <x:c r="K16" s="95" t="n">
        <x:f>K15*(1+K12)^K9</x:f>
        <x:v>107624.41308678973</x:v>
      </x:c>
      <x:c r="L16" s="95" t="n">
        <x:f>L15*(1+L12)^L9</x:f>
        <x:v>117985.00669490769</x:v>
      </x:c>
      <x:c r="M16" s="95" t="n">
        <x:f>M15*(1+M12)^M9</x:f>
        <x:v>138042.457833042</x:v>
      </x:c>
      <x:c r="N16" s="95" t="n">
        <x:f>N15*(1+N12)^N9</x:f>
        <x:v>157368.4019296679</x:v>
      </x:c>
      <x:c r="O16" s="95" t="n">
        <x:f>O15*(1+O12)^O9</x:f>
        <x:v>176252.61016122805</x:v>
      </x:c>
    </x:row>
    <x:row r="17" ht="22" customHeight="1">
      <x:c r="C17" s="84" t="str">
        <x:v>Stablecoin-holder deposits</x:v>
      </x:c>
      <x:c r="D17" s="95" t="n">
        <x:f>D16*Sources!$D$21/Sources!$D$33</x:f>
        <x:v>75542.39848475702</x:v>
      </x:c>
      <x:c r="E17" s="95" t="n">
        <x:f>E16*Sources!$D$21/Sources!$D$33</x:f>
        <x:v>78251.00991786888</x:v>
      </x:c>
      <x:c r="F17" s="95" t="n">
        <x:f>F16*Sources!$D$21/Sources!$D$33</x:f>
        <x:v>82677.16399287949</x:v>
      </x:c>
      <x:c r="G17" s="95" t="n">
        <x:f>G16*Sources!$D$21/Sources!$D$33</x:f>
        <x:v>87407.09719769907</x:v>
      </x:c>
      <x:c r="H17" s="95" t="n">
        <x:f>H16*Sources!$D$21/Sources!$D$33</x:f>
        <x:v>92464.1391953475</x:v>
      </x:c>
      <x:c r="I17" s="95" t="n">
        <x:f>I16*Sources!$D$21/Sources!$D$33</x:f>
        <x:v>97813.7623973361</x:v>
      </x:c>
      <x:c r="J17" s="95" t="n">
        <x:f>J16*Sources!$D$21/Sources!$D$33</x:f>
        <x:v>102362.53723676005</x:v>
      </x:c>
      <x:c r="K17" s="95" t="n">
        <x:f>K16*Sources!$D$21/Sources!$D$33</x:f>
        <x:v>107122.85033044034</x:v>
      </x:c>
      <x:c r="L17" s="95" t="n">
        <x:f>L16*Sources!$D$21/Sources!$D$33</x:f>
        <x:v>117435.16039639102</x:v>
      </x:c>
      <x:c r="M17" s="95" t="n">
        <x:f>M16*Sources!$D$21/Sources!$D$33</x:f>
        <x:v>137399.1376637775</x:v>
      </x:c>
      <x:c r="N17" s="95" t="n">
        <x:f>N16*Sources!$D$21/Sources!$D$33</x:f>
        <x:v>156635.01693670638</x:v>
      </x:c>
      <x:c r="O17" s="95" t="n">
        <x:f>O16*Sources!$D$21/Sources!$D$33</x:f>
        <x:v>175431.21896911116</x:v>
      </x:c>
    </x:row>
    <x:row r="18" ht="22" customHeight="1">
      <x:c r="C18" s="84" t="str">
        <x:v>Stablecoin-holder reserve assets</x:v>
      </x:c>
      <x:c r="D18" s="95" t="n">
        <x:f>SUM(D17,D124,Sources!$D$67)</x:f>
        <x:v>75781.3695298471</x:v>
      </x:c>
      <x:c r="E18" s="95" t="n">
        <x:f>SUM(E17,E124,Sources!$D$67)</x:f>
        <x:v>78495.51558567045</x:v>
      </x:c>
      <x:c r="F18" s="95" t="n">
        <x:f>SUM(F17,F124,Sources!$D$67)</x:f>
        <x:v>82930.71381244411</x:v>
      </x:c>
      <x:c r="G18" s="95" t="n">
        <x:f>SUM(G17,G124,Sources!$D$67)</x:f>
        <x:v>87670.31189404124</x:v>
      </x:c>
      <x:c r="H18" s="95" t="n">
        <x:f>SUM(H17,H124,Sources!$D$67)</x:f>
        <x:v>92737.68716398966</x:v>
      </x:c>
      <x:c r="I18" s="95" t="n">
        <x:f>SUM(I17,I124,Sources!$D$67)</x:f>
        <x:v>98098.24148208808</x:v>
      </x:c>
      <x:c r="J18" s="95" t="n">
        <x:f>SUM(J17,J124,Sources!$D$67)</x:f>
        <x:v>102656.31102957831</x:v>
      </x:c>
      <x:c r="K18" s="95" t="n">
        <x:f>SUM(K17,K124,Sources!$D$67)</x:f>
        <x:v>107426.35107657501</x:v>
      </x:c>
      <x:c r="L18" s="95" t="n">
        <x:f>SUM(L17,L124,Sources!$D$67)</x:f>
        <x:v>117759.73273101613</x:v>
      </x:c>
      <x:c r="M18" s="95" t="n">
        <x:f>SUM(M17,M124,Sources!$D$67)</x:f>
        <x:v>137764.5032552889</x:v>
      </x:c>
      <x:c r="N18" s="95" t="n">
        <x:f>SUM(N17,N124,Sources!$D$67)</x:f>
        <x:v>157039.68803102936</x:v>
      </x:c>
      <x:c r="O18" s="95" t="n">
        <x:f>SUM(O17,O124,Sources!$D$67)</x:f>
        <x:v>175874.29715475292</x:v>
      </x:c>
    </x:row>
    <x:row r="19" ht="22" customHeight="1">
      <x:c r="C19" s="84" t="str">
        <x:v>Opening corporate-owned USDC</x:v>
      </x:c>
      <x:c r="D19" s="95" t="n">
        <x:f>Sources!$D$9</x:f>
        <x:v>889.311</x:v>
      </x:c>
      <x:c r="E19" s="95" t="n">
        <x:f>D100</x:f>
        <x:v>889.311</x:v>
      </x:c>
      <x:c r="F19" s="95" t="n">
        <x:f>E100</x:f>
        <x:v>889.311</x:v>
      </x:c>
      <x:c r="G19" s="95" t="n">
        <x:f>F100</x:f>
        <x:v>889.311</x:v>
      </x:c>
      <x:c r="H19" s="95" t="n">
        <x:f>G100</x:f>
        <x:v>889.311</x:v>
      </x:c>
      <x:c r="I19" s="95" t="n">
        <x:f>H100</x:f>
        <x:v>889.311</x:v>
      </x:c>
      <x:c r="J19" s="95" t="n">
        <x:f>I100</x:f>
        <x:v>889.311</x:v>
      </x:c>
      <x:c r="K19" s="95" t="n">
        <x:f>J100</x:f>
        <x:v>889.311</x:v>
      </x:c>
      <x:c r="L19" s="95" t="n">
        <x:f>K100</x:f>
        <x:v>889.311</x:v>
      </x:c>
      <x:c r="M19" s="95" t="n">
        <x:f>L100</x:f>
        <x:v>889.311</x:v>
      </x:c>
      <x:c r="N19" s="95" t="n">
        <x:f>M100</x:f>
        <x:v>889.311</x:v>
      </x:c>
      <x:c r="O19" s="95" t="n">
        <x:f>N100</x:f>
        <x:v>889.311</x:v>
      </x:c>
    </x:row>
    <x:row r="20" ht="22" customHeight="1">
      <x:c r="C20" s="84" t="str">
        <x:v>Average modeled reserve pool</x:v>
      </x:c>
      <x:c r="D20" s="95" t="n">
        <x:f>(Sources!$D$10+D18)/2+D19</x:f>
        <x:v>75360.58176492355</x:v>
      </x:c>
      <x:c r="E20" s="95" t="n">
        <x:f>(D18+E18)/2+E19</x:f>
        <x:v>78027.75355775877</x:v>
      </x:c>
      <x:c r="F20" s="95" t="n">
        <x:f>(E18+F18)/2+F19</x:f>
        <x:v>81602.42569905728</x:v>
      </x:c>
      <x:c r="G20" s="95" t="n">
        <x:f>(F18+G18)/2+G19</x:f>
        <x:v>86189.82385324268</x:v>
      </x:c>
      <x:c r="H20" s="95" t="n">
        <x:f>(G18+H18)/2+H19</x:f>
        <x:v>91093.31052901545</x:v>
      </x:c>
      <x:c r="I20" s="95" t="n">
        <x:f>(H18+I18)/2+I19</x:f>
        <x:v>96307.27532303888</x:v>
      </x:c>
      <x:c r="J20" s="95" t="n">
        <x:f>(I18+J18)/2+J19</x:f>
        <x:v>101266.58725583319</x:v>
      </x:c>
      <x:c r="K20" s="95" t="n">
        <x:f>(J18+K18)/2+K19</x:f>
        <x:v>105930.64205307666</x:v>
      </x:c>
      <x:c r="L20" s="95" t="n">
        <x:f>(K18+L18)/2+L19</x:f>
        <x:v>113482.35290379557</x:v>
      </x:c>
      <x:c r="M20" s="95" t="n">
        <x:f>(L18+M18)/2+M19</x:f>
        <x:v>128651.42899315253</x:v>
      </x:c>
      <x:c r="N20" s="95" t="n">
        <x:f>(M18+N18)/2+N19</x:f>
        <x:v>148291.4066431591</x:v>
      </x:c>
      <x:c r="O20" s="95" t="n">
        <x:f>(N18+O18)/2+O19</x:f>
        <x:v>167346.30359289114</x:v>
      </x:c>
    </x:row>
    <x:row r="21" ht="22" customHeight="1">
      <x:c r="C21" s="84" t="str">
        <x:v>Reserve income</x:v>
      </x:c>
      <x:c r="D21" s="95" t="n">
        <x:f>D20*D13*D9</x:f>
        <x:v>664.8248583097367</x:v>
      </x:c>
      <x:c r="E21" s="95" t="n">
        <x:f>E20*E13*E9</x:f>
        <x:v>688.3544286465295</x:v>
      </x:c>
      <x:c r="F21" s="95" t="n">
        <x:f>F20*F13*F9</x:f>
        <x:v>623.7555279462186</x:v>
      </x:c>
      <x:c r="G21" s="95" t="n">
        <x:f>G20*G13*G9</x:f>
        <x:v>666.1410769588975</x:v>
      </x:c>
      <x:c r="H21" s="95" t="n">
        <x:f>H20*H13*H9</x:f>
        <x:v>711.7756756952112</x:v>
      </x:c>
      <x:c r="I21" s="95" t="n">
        <x:f>I20*I13*I9</x:f>
        <x:v>752.5160252638545</x:v>
      </x:c>
      <x:c r="J21" s="95" t="n">
        <x:f>J20*J13*J9</x:f>
        <x:v>757.4185841326702</x:v>
      </x:c>
      <x:c r="K21" s="95" t="n">
        <x:f>K20*K13*K9</x:f>
        <x:v>792.3031583695871</x:v>
      </x:c>
      <x:c r="L21" s="95" t="n">
        <x:f>L20*L13*L9</x:f>
        <x:v>1716.2262685724702</x:v>
      </x:c>
      <x:c r="M21" s="95" t="n">
        <x:f>M20*M13*M9</x:f>
        <x:v>3859.542869794576</x:v>
      </x:c>
      <x:c r="N21" s="95" t="n">
        <x:f>N20*N13*N9</x:f>
        <x:v>4448.742199294773</x:v>
      </x:c>
      <x:c r="O21" s="95" t="n">
        <x:f>O20*O13*O9</x:f>
        <x:v>5020.389107786734</x:v>
      </x:c>
    </x:row>
    <x:row r="22" ht="22" customHeight="1">
      <x:c r="C22" s="84" t="str">
        <x:v>Subscription run rate, opening</x:v>
      </x:c>
      <x:c r="D22" s="142" t="n">
        <x:f>Sources!$D$34</x:f>
        <x:v>112.624</x:v>
      </x:c>
      <x:c r="E22" s="95" t="n">
        <x:f>D23</x:f>
        <x:v>120.32362739395306</x:v>
      </x:c>
      <x:c r="F22" s="95" t="n">
        <x:f>E23</x:f>
        <x:v>128.54964580585712</x:v>
      </x:c>
      <x:c r="G22" s="95" t="n">
        <x:f>F23</x:f>
        <x:v>139.6697818444248</x:v>
      </x:c>
      <x:c r="H22" s="95" t="n">
        <x:f>G23</x:f>
        <x:v>151.8918165317197</x:v>
      </x:c>
      <x:c r="I22" s="95" t="n">
        <x:f>H23</x:f>
        <x:v>165.33570365273536</x:v>
      </x:c>
      <x:c r="J22" s="95" t="n">
        <x:f>I23</x:f>
        <x:v>179.96950412820001</x:v>
      </x:c>
      <x:c r="K22" s="95" t="n">
        <x:f>J23</x:f>
        <x:v>193.95147754827488</x:v>
      </x:c>
      <x:c r="L22" s="95" t="n">
        <x:f>K23</x:f>
        <x:v>209.01972156550835</x:v>
      </x:c>
      <x:c r="M22" s="95" t="n">
        <x:f>L23</x:f>
        <x:v>243.1586745285947</x:v>
      </x:c>
      <x:c r="N22" s="95" t="n">
        <x:f>M23</x:f>
        <x:v>316.1062768871731</x:v>
      </x:c>
      <x:c r="O22" s="95" t="n">
        <x:f>N23</x:f>
        <x:v>395.1328461089664</x:v>
      </x:c>
    </x:row>
    <x:row r="23" ht="22" customHeight="1">
      <x:c r="C23" s="84" t="str">
        <x:v>Subscription run rate, closing</x:v>
      </x:c>
      <x:c r="D23" s="142" t="n">
        <x:f>D22*(1+Assumptions!D23)^D9</x:f>
        <x:v>120.32362739395306</x:v>
      </x:c>
      <x:c r="E23" s="142" t="n">
        <x:f>E22*(1+Assumptions!E23)^E9</x:f>
        <x:v>128.54964580585712</x:v>
      </x:c>
      <x:c r="F23" s="142" t="n">
        <x:f>F22*(1+Assumptions!F23)^F9</x:f>
        <x:v>139.6697818444248</x:v>
      </x:c>
      <x:c r="G23" s="142" t="n">
        <x:f>G22*(1+Assumptions!G23)^G9</x:f>
        <x:v>151.8918165317197</x:v>
      </x:c>
      <x:c r="H23" s="142" t="n">
        <x:f>H22*(1+Assumptions!H23)^H9</x:f>
        <x:v>165.33570365273536</x:v>
      </x:c>
      <x:c r="I23" s="142" t="n">
        <x:f>I22*(1+Assumptions!I23)^I9</x:f>
        <x:v>179.96950412820001</x:v>
      </x:c>
      <x:c r="J23" s="142" t="n">
        <x:f>J22*(1+Assumptions!J23)^J9</x:f>
        <x:v>193.95147754827488</x:v>
      </x:c>
      <x:c r="K23" s="142" t="n">
        <x:f>K22*(1+Assumptions!K23)^K9</x:f>
        <x:v>209.01972156550835</x:v>
      </x:c>
      <x:c r="L23" s="142" t="n">
        <x:f>L22*(1+Assumptions!L23)^L9</x:f>
        <x:v>243.1586745285947</x:v>
      </x:c>
      <x:c r="M23" s="142" t="n">
        <x:f>M22*(1+Assumptions!M23)^M9</x:f>
        <x:v>316.1062768871731</x:v>
      </x:c>
      <x:c r="N23" s="142" t="n">
        <x:f>N22*(1+Assumptions!N23)^N9</x:f>
        <x:v>395.1328461089664</x:v>
      </x:c>
      <x:c r="O23" s="142" t="n">
        <x:f>O22*(1+Assumptions!O23)^O9</x:f>
        <x:v>474.15941533075966</x:v>
      </x:c>
    </x:row>
    <x:row r="24" ht="22" customHeight="1">
      <x:c r="C24" s="84" t="str">
        <x:v>Subscription and service revenue</x:v>
      </x:c>
      <x:c r="D24" s="95" t="n">
        <x:f>(D22+D23)/2*D9</x:f>
        <x:v>29.357783178416003</x:v>
      </x:c>
      <x:c r="E24" s="95" t="n">
        <x:f>(E22+E23)/2*E9</x:f>
        <x:v>31.364850869017175</x:v>
      </x:c>
      <x:c r="F24" s="95" t="n">
        <x:f>(F22+F23)/2*F9</x:f>
        <x:v>33.06814861441831</x:v>
      </x:c>
      <x:c r="G24" s="95" t="n">
        <x:f>(G22+G23)/2*G9</x:f>
        <x:v>36.34534993456048</x:v>
      </x:c>
      <x:c r="H24" s="95" t="n">
        <x:f>(H22+H23)/2*H9</x:f>
        <x:v>39.979358708177905</x:v>
      </x:c>
      <x:c r="I24" s="95" t="n">
        <x:f>(I22+I23)/2*I9</x:f>
        <x:v>43.51791659704939</x:v>
      </x:c>
      <x:c r="J24" s="95" t="n">
        <x:f>(J22+J23)/2*J9</x:f>
        <x:v>46.61206757884824</x:v>
      </x:c>
      <x:c r="K24" s="95" t="n">
        <x:f>(K22+K23)/2*K9</x:f>
        <x:v>50.23339605390996</x:v>
      </x:c>
      <x:c r="L24" s="95" t="n">
        <x:f>(L22+L23)/2*L9</x:f>
        <x:v>113.9737327141301</x:v>
      </x:c>
      <x:c r="M24" s="95" t="n">
        <x:f>(M22+M23)/2*M9</x:f>
        <x:v>279.63247570788394</x:v>
      </x:c>
      <x:c r="N24" s="95" t="n">
        <x:f>(N22+N23)/2*N9</x:f>
        <x:v>355.61956149806974</x:v>
      </x:c>
      <x:c r="O24" s="95" t="n">
        <x:f>(O22+O23)/2*O9</x:f>
        <x:v>434.64613071986304</x:v>
      </x:c>
    </x:row>
    <x:row r="25" ht="22" customHeight="1">
      <x:c r="C25" s="84" t="str">
        <x:v>Transaction run rate, opening</x:v>
      </x:c>
      <x:c r="D25" s="142" t="n">
        <x:f>Sources!$D$35</x:f>
        <x:v>21.32</x:v>
      </x:c>
      <x:c r="E25" s="95" t="n">
        <x:f>D26</x:f>
        <x:v>22.553494062227053</x:v>
      </x:c>
      <x:c r="F25" s="95" t="n">
        <x:f>E26</x:f>
        <x:v>23.858353396571808</x:v>
      </x:c>
      <x:c r="G25" s="95" t="n">
        <x:f>F26</x:f>
        <x:v>25.45283067111305</x:v>
      </x:c>
      <x:c r="H25" s="95" t="n">
        <x:f>G26</x:f>
        <x:v>27.173393819316118</x:v>
      </x:c>
      <x:c r="I25" s="95" t="n">
        <x:f>H26</x:f>
        <x:v>29.03112403168543</x:v>
      </x:c>
      <x:c r="J25" s="95" t="n">
        <x:f>I26</x:f>
        <x:v>31.01585941554335</x:v>
      </x:c>
      <x:c r="K25" s="95" t="n">
        <x:f>J26</x:f>
        <x:v>32.79026647355793</x:v>
      </x:c>
      <x:c r="L25" s="95" t="n">
        <x:f>K26</x:f>
        <x:v>34.66618677243902</x:v>
      </x:c>
      <x:c r="M25" s="95" t="n">
        <x:f>L26</x:f>
        <x:v>38.79353353322764</x:v>
      </x:c>
      <x:c r="N25" s="95" t="n">
        <x:f>M26</x:f>
        <x:v>46.552240239873164</x:v>
      </x:c>
      <x:c r="O25" s="95" t="n">
        <x:f>N26</x:f>
        <x:v>54.93164348305033</x:v>
      </x:c>
    </x:row>
    <x:row r="26" ht="22" customHeight="1">
      <x:c r="C26" s="84" t="str">
        <x:v>Transaction run rate, closing</x:v>
      </x:c>
      <x:c r="D26" s="142" t="n">
        <x:f>D25*(1+Assumptions!D28)^D9</x:f>
        <x:v>22.553494062227053</x:v>
      </x:c>
      <x:c r="E26" s="142" t="n">
        <x:f>E25*(1+Assumptions!E28)^E9</x:f>
        <x:v>23.858353396571808</x:v>
      </x:c>
      <x:c r="F26" s="142" t="n">
        <x:f>F25*(1+Assumptions!F28)^F9</x:f>
        <x:v>25.45283067111305</x:v>
      </x:c>
      <x:c r="G26" s="142" t="n">
        <x:f>G25*(1+Assumptions!G28)^G9</x:f>
        <x:v>27.173393819316118</x:v>
      </x:c>
      <x:c r="H26" s="142" t="n">
        <x:f>H25*(1+Assumptions!H28)^H9</x:f>
        <x:v>29.03112403168543</x:v>
      </x:c>
      <x:c r="I26" s="142" t="n">
        <x:f>I25*(1+Assumptions!I28)^I9</x:f>
        <x:v>31.01585941554335</x:v>
      </x:c>
      <x:c r="J26" s="142" t="n">
        <x:f>J25*(1+Assumptions!J28)^J9</x:f>
        <x:v>32.79026647355793</x:v>
      </x:c>
      <x:c r="K26" s="142" t="n">
        <x:f>K25*(1+Assumptions!K28)^K9</x:f>
        <x:v>34.66618677243902</x:v>
      </x:c>
      <x:c r="L26" s="142" t="n">
        <x:f>L25*(1+Assumptions!L28)^L9</x:f>
        <x:v>38.79353353322764</x:v>
      </x:c>
      <x:c r="M26" s="142" t="n">
        <x:f>M25*(1+Assumptions!M28)^M9</x:f>
        <x:v>46.552240239873164</x:v>
      </x:c>
      <x:c r="N26" s="142" t="n">
        <x:f>N25*(1+Assumptions!N28)^N9</x:f>
        <x:v>54.93164348305033</x:v>
      </x:c>
      <x:c r="O26" s="142" t="n">
        <x:f>O25*(1+Assumptions!O28)^O9</x:f>
        <x:v>63.171390005507874</x:v>
      </x:c>
    </x:row>
    <x:row r="27" ht="22" customHeight="1">
      <x:c r="C27" s="84" t="str">
        <x:v>Transaction revenue</x:v>
      </x:c>
      <x:c r="D27" s="95" t="n">
        <x:f>(D25+D26)/2*D9</x:f>
        <x:v>5.529262265376561</x:v>
      </x:c>
      <x:c r="E27" s="95" t="n">
        <x:f>(E25+E26)/2*E9</x:f>
        <x:v>5.849164337273281</x:v>
      </x:c>
      <x:c r="F27" s="95" t="n">
        <x:f>(F25+F26)/2*F9</x:f>
        <x:v>6.0794610494405985</x:v>
      </x:c>
      <x:c r="G27" s="95" t="n">
        <x:f>(G25+G26)/2*G9</x:f>
        <x:v>6.5602553816836355</x:v>
      </x:c>
      <x:c r="H27" s="95" t="n">
        <x:f>(H25+H26)/2*H9</x:f>
        <x:v>7.083309099030332</x:v>
      </x:c>
      <x:c r="I27" s="95" t="n">
        <x:f>(I25+I26)/2*I9</x:f>
        <x:v>7.567565037184998</x:v>
      </x:c>
      <x:c r="J27" s="95" t="n">
        <x:f>(J25+J26)/2*J9</x:f>
        <x:v>7.953914323161941</x:v>
      </x:c>
      <x:c r="K27" s="95" t="n">
        <x:f>(K25+K26)/2*K9</x:f>
        <x:v>8.408955130665374</x:v>
      </x:c>
      <x:c r="L27" s="95" t="n">
        <x:f>(L25+L26)/2*L9</x:f>
        <x:v>18.515874707181734</x:v>
      </x:c>
      <x:c r="M27" s="95" t="n">
        <x:f>(M25+M26)/2*M9</x:f>
        <x:v>42.6728868865504</x:v>
      </x:c>
      <x:c r="N27" s="95" t="n">
        <x:f>(N25+N26)/2*N9</x:f>
        <x:v>50.74194186146175</x:v>
      </x:c>
      <x:c r="O27" s="95" t="n">
        <x:f>(O25+O26)/2*O9</x:f>
        <x:v>59.0515167442791</x:v>
      </x:c>
    </x:row>
    <x:row r="28" ht="22" customHeight="1">
      <x:c r="C28" s="84" t="str">
        <x:v>Other run rate, opening</x:v>
      </x:c>
      <x:c r="D28" s="142" t="n">
        <x:f>Sources!$D$36</x:f>
        <x:v>0.384</x:v>
      </x:c>
      <x:c r="E28" s="95" t="n">
        <x:f>D29</x:f>
        <x:v>0.4062167786067162</x:v>
      </x:c>
      <x:c r="F28" s="95" t="n">
        <x:f>E29</x:f>
        <x:v>0.4297189354729632</x:v>
      </x:c>
      <x:c r="G28" s="95" t="n">
        <x:f>F29</x:f>
        <x:v>0.4584374755022238</x:v>
      </x:c>
      <x:c r="H28" s="95" t="n">
        <x:f>G29</x:f>
        <x:v>0.48942698061057177</x:v>
      </x:c>
      <x:c r="I28" s="95" t="n">
        <x:f>H29</x:f>
        <x:v>0.5228870369684431</x:v>
      </x:c>
      <x:c r="J28" s="95" t="n">
        <x:f>I29</x:f>
        <x:v>0.5586346161148521</x:v>
      </x:c>
      <x:c r="K28" s="95" t="n">
        <x:f>J29</x:f>
        <x:v>0.5905939177226194</x:v>
      </x:c>
      <x:c r="L28" s="95" t="n">
        <x:f>K29</x:f>
        <x:v>0.6243816004041549</x:v>
      </x:c>
      <x:c r="M28" s="95" t="n">
        <x:f>L29</x:f>
        <x:v>0.6987203037879649</x:v>
      </x:c>
      <x:c r="N28" s="95" t="n">
        <x:f>M29</x:f>
        <x:v>0.8384643645455578</x:v>
      </x:c>
      <x:c r="O28" s="95" t="n">
        <x:f>N29</x:f>
        <x:v>0.9893879501637582</x:v>
      </x:c>
    </x:row>
    <x:row r="29" ht="22" customHeight="1">
      <x:c r="C29" s="84" t="str">
        <x:v>Other run rate, closing</x:v>
      </x:c>
      <x:c r="D29" s="142" t="n">
        <x:f>D28*(1+Assumptions!D28)^D9</x:f>
        <x:v>0.4062167786067162</x:v>
      </x:c>
      <x:c r="E29" s="142" t="n">
        <x:f>E28*(1+Assumptions!E28)^E9</x:f>
        <x:v>0.4297189354729632</x:v>
      </x:c>
      <x:c r="F29" s="142" t="n">
        <x:f>F28*(1+Assumptions!F28)^F9</x:f>
        <x:v>0.4584374755022238</x:v>
      </x:c>
      <x:c r="G29" s="142" t="n">
        <x:f>G28*(1+Assumptions!G28)^G9</x:f>
        <x:v>0.48942698061057177</x:v>
      </x:c>
      <x:c r="H29" s="142" t="n">
        <x:f>H28*(1+Assumptions!H28)^H9</x:f>
        <x:v>0.5228870369684431</x:v>
      </x:c>
      <x:c r="I29" s="142" t="n">
        <x:f>I28*(1+Assumptions!I28)^I9</x:f>
        <x:v>0.5586346161148521</x:v>
      </x:c>
      <x:c r="J29" s="142" t="n">
        <x:f>J28*(1+Assumptions!J28)^J9</x:f>
        <x:v>0.5905939177226194</x:v>
      </x:c>
      <x:c r="K29" s="142" t="n">
        <x:f>K28*(1+Assumptions!K28)^K9</x:f>
        <x:v>0.6243816004041549</x:v>
      </x:c>
      <x:c r="L29" s="142" t="n">
        <x:f>L28*(1+Assumptions!L28)^L9</x:f>
        <x:v>0.6987203037879649</x:v>
      </x:c>
      <x:c r="M29" s="142" t="n">
        <x:f>M28*(1+Assumptions!M28)^M9</x:f>
        <x:v>0.8384643645455578</x:v>
      </x:c>
      <x:c r="N29" s="142" t="n">
        <x:f>N28*(1+Assumptions!N28)^N9</x:f>
        <x:v>0.9893879501637582</x:v>
      </x:c>
      <x:c r="O29" s="142" t="n">
        <x:f>O28*(1+Assumptions!O28)^O9</x:f>
        <x:v>1.1377961426883219</x:v>
      </x:c>
    </x:row>
    <x:row r="30" ht="22" customHeight="1">
      <x:c r="C30" s="84" t="str">
        <x:v>Other recurring revenue</x:v>
      </x:c>
      <x:c r="D30" s="95" t="n">
        <x:f>(D28+D29)/2*D9</x:f>
        <x:v>0.0995889638792026</x:v>
      </x:c>
      <x:c r="E30" s="95" t="n">
        <x:f>(E28+E29)/2*E9</x:f>
        <x:v>0.10535080232237055</x:v>
      </x:c>
      <x:c r="F30" s="95" t="n">
        <x:f>(F28+F29)/2*F9</x:f>
        <x:v>0.10949873559968057</x:v>
      </x:c>
      <x:c r="G30" s="95" t="n">
        <x:f>(G28+G29)/2*G9</x:f>
        <x:v>0.11815844589899233</x:v>
      </x:c>
      <x:c r="H30" s="95" t="n">
        <x:f>(H28+H29)/2*H9</x:f>
        <x:v>0.12757930084557448</x:v>
      </x:c>
      <x:c r="I30" s="95" t="n">
        <x:f>(I28+I29)/2*I9</x:f>
        <x:v>0.13630135901871665</x:v>
      </x:c>
      <x:c r="J30" s="95" t="n">
        <x:f>(J28+J29)/2*J9</x:f>
        <x:v>0.14325999531398617</x:v>
      </x:c>
      <x:c r="K30" s="95" t="n">
        <x:f>(K28+K29)/2*K9</x:f>
        <x:v>0.15145585225963898</x:v>
      </x:c>
      <x:c r="L30" s="95" t="n">
        <x:f>(L28+L29)/2*L9</x:f>
        <x:v>0.3334941785908905</x:v>
      </x:c>
      <x:c r="M30" s="95" t="n">
        <x:f>(M28+M29)/2*M9</x:f>
        <x:v>0.7685923341667613</x:v>
      </x:c>
      <x:c r="N30" s="95" t="n">
        <x:f>(N28+N29)/2*N9</x:f>
        <x:v>0.913926157354658</x:v>
      </x:c>
      <x:c r="O30" s="95" t="n">
        <x:f>(O28+O29)/2*O9</x:f>
        <x:v>1.06359204642604</x:v>
      </x:c>
    </x:row>
    <x:row r="31" ht="22" customHeight="1">
      <x:c r="C31" s="84" t="str">
        <x:v>Total recurring other revenue</x:v>
      </x:c>
      <x:c r="D31" s="95" t="n">
        <x:f>SUM(D24,D27,D30)</x:f>
        <x:v>34.986634407671765</x:v>
      </x:c>
      <x:c r="E31" s="95" t="n">
        <x:f>SUM(E24,E27,E30)</x:f>
        <x:v>37.319366008612825</x:v>
      </x:c>
      <x:c r="F31" s="95" t="n">
        <x:f>SUM(F24,F27,F30)</x:f>
        <x:v>39.25710839945859</x:v>
      </x:c>
      <x:c r="G31" s="95" t="n">
        <x:f>SUM(G24,G27,G30)</x:f>
        <x:v>43.02376376214311</x:v>
      </x:c>
      <x:c r="H31" s="95" t="n">
        <x:f>SUM(H24,H27,H30)</x:f>
        <x:v>47.19024710805381</x:v>
      </x:c>
      <x:c r="I31" s="95" t="n">
        <x:f>SUM(I24,I27,I30)</x:f>
        <x:v>51.22178299325311</x:v>
      </x:c>
      <x:c r="J31" s="95" t="n">
        <x:f>SUM(J24,J27,J30)</x:f>
        <x:v>54.70924189732416</x:v>
      </x:c>
      <x:c r="K31" s="95" t="n">
        <x:f>SUM(K24,K27,K30)</x:f>
        <x:v>58.79380703683498</x:v>
      </x:c>
      <x:c r="L31" s="95" t="n">
        <x:f>SUM(L24,L27,L30)</x:f>
        <x:v>132.8231015999027</x:v>
      </x:c>
      <x:c r="M31" s="95" t="n">
        <x:f>SUM(M24,M27,M30)</x:f>
        <x:v>323.0739549286011</x:v>
      </x:c>
      <x:c r="N31" s="95" t="n">
        <x:f>SUM(N24,N27,N30)</x:f>
        <x:v>407.2754295168861</x:v>
      </x:c>
      <x:c r="O31" s="95" t="n">
        <x:f>SUM(O24,O27,O30)</x:f>
        <x:v>494.7612395105682</x:v>
      </x:c>
    </x:row>
    <x:row r="32" ht="22" customHeight="1">
      <x:c r="C32" s="84" t="str">
        <x:v>Distribution and transaction costs</x:v>
      </x:c>
      <x:c r="D32" s="95" t="n">
        <x:f>D21*(1-D14)</x:f>
        <x:v>408.6266864146161</x:v>
      </x:c>
      <x:c r="E32" s="95" t="n">
        <x:f>E21*(1-E14)</x:f>
        <x:v>423.08885677317966</x:v>
      </x:c>
      <x:c r="F32" s="95" t="n">
        <x:f>F21*(1-F14)</x:f>
        <x:v>377.37209440746227</x:v>
      </x:c>
      <x:c r="G32" s="95" t="n">
        <x:f>G21*(1-G14)</x:f>
        <x:v>403.015351560133</x:v>
      </x:c>
      <x:c r="H32" s="95" t="n">
        <x:f>H21*(1-H14)</x:f>
        <x:v>430.62428379560276</x:v>
      </x:c>
      <x:c r="I32" s="95" t="n">
        <x:f>I21*(1-I14)</x:f>
        <x:v>455.272195284632</x:v>
      </x:c>
      <x:c r="J32" s="95" t="n">
        <x:f>J21*(1-J14)</x:f>
        <x:v>450.66405755893874</x:v>
      </x:c>
      <x:c r="K32" s="95" t="n">
        <x:f>K21*(1-K14)</x:f>
        <x:v>471.4203792299043</x:v>
      </x:c>
      <x:c r="L32" s="95" t="n">
        <x:f>L21*(1-L14)</x:f>
        <x:v>1021.1546298006198</x:v>
      </x:c>
      <x:c r="M32" s="95" t="n">
        <x:f>M21*(1-M14)</x:f>
        <x:v>2257.8325788298266</x:v>
      </x:c>
      <x:c r="N32" s="95" t="n">
        <x:f>N21*(1-N14)</x:f>
        <x:v>2580.2704755909685</x:v>
      </x:c>
      <x:c r="O32" s="95" t="n">
        <x:f>O21*(1-O14)</x:f>
        <x:v>2886.7237369773716</x:v>
      </x:c>
    </x:row>
    <x:row r="33" ht="22" customHeight="1">
      <x:c r="C33" s="84" t="str">
        <x:v>Other service costs</x:v>
      </x:c>
      <x:c r="D33" s="142" t="n">
        <x:f>D31*Assumptions!D53</x:f>
        <x:v>1.7493317203835883</x:v>
      </x:c>
      <x:c r="E33" s="142" t="n">
        <x:f>E31*Assumptions!E53</x:f>
        <x:v>1.8659683004306413</x:v>
      </x:c>
      <x:c r="F33" s="142" t="n">
        <x:f>F31*Assumptions!F53</x:f>
        <x:v>1.9628554199729296</x:v>
      </x:c>
      <x:c r="G33" s="142" t="n">
        <x:f>G31*Assumptions!G53</x:f>
        <x:v>2.1511881881071555</x:v>
      </x:c>
      <x:c r="H33" s="142" t="n">
        <x:f>H31*Assumptions!H53</x:f>
        <x:v>2.3595123554026904</x:v>
      </x:c>
      <x:c r="I33" s="142" t="n">
        <x:f>I31*Assumptions!I53</x:f>
        <x:v>2.5610891496626556</x:v>
      </x:c>
      <x:c r="J33" s="142" t="n">
        <x:f>J31*Assumptions!J53</x:f>
        <x:v>2.7354620948662083</x:v>
      </x:c>
      <x:c r="K33" s="142" t="n">
        <x:f>K31*Assumptions!K53</x:f>
        <x:v>2.939690351841749</x:v>
      </x:c>
      <x:c r="L33" s="142" t="n">
        <x:f>L31*Assumptions!L53</x:f>
        <x:v>6.641155079995136</x:v>
      </x:c>
      <x:c r="M33" s="142" t="n">
        <x:f>M31*Assumptions!M53</x:f>
        <x:v>16.153697746430055</x:v>
      </x:c>
      <x:c r="N33" s="142" t="n">
        <x:f>N31*Assumptions!N53</x:f>
        <x:v>20.363771475844306</x:v>
      </x:c>
      <x:c r="O33" s="142" t="n">
        <x:f>O31*Assumptions!O53</x:f>
        <x:v>24.73806197552841</x:v>
      </x:c>
    </x:row>
    <x:row r="34" ht="22" customHeight="1">
      <x:c r="C34" s="144" t="str">
        <x:v>Total revenue and reserve income</x:v>
      </x:c>
      <x:c r="D34" s="127" t="n">
        <x:f>D21+D31</x:f>
        <x:v>699.8114927174084</x:v>
      </x:c>
      <x:c r="E34" s="127" t="n">
        <x:f>E21+E31</x:f>
        <x:v>725.6737946551424</x:v>
      </x:c>
      <x:c r="F34" s="127" t="n">
        <x:f>F21+F31</x:f>
        <x:v>663.0126363456773</x:v>
      </x:c>
      <x:c r="G34" s="127" t="n">
        <x:f>G21+G31</x:f>
        <x:v>709.1648407210406</x:v>
      </x:c>
      <x:c r="H34" s="127" t="n">
        <x:f>H21+H31</x:f>
        <x:v>758.965922803265</x:v>
      </x:c>
      <x:c r="I34" s="127" t="n">
        <x:f>I21+I31</x:f>
        <x:v>803.7378082571076</x:v>
      </x:c>
      <x:c r="J34" s="127" t="n">
        <x:f>J21+J31</x:f>
        <x:v>812.1278260299944</x:v>
      </x:c>
      <x:c r="K34" s="127" t="n">
        <x:f>K21+K31</x:f>
        <x:v>851.0969654064221</x:v>
      </x:c>
      <x:c r="L34" s="127" t="n">
        <x:f>L21+L31</x:f>
        <x:v>1849.0493701723728</x:v>
      </x:c>
      <x:c r="M34" s="127" t="n">
        <x:f>M21+M31</x:f>
        <x:v>4182.616824723177</x:v>
      </x:c>
      <x:c r="N34" s="127" t="n">
        <x:f>N21+N31</x:f>
        <x:v>4856.017628811659</x:v>
      </x:c>
      <x:c r="O34" s="127" t="n">
        <x:f>O21+O31</x:f>
        <x:v>5515.150347297302</x:v>
      </x:c>
    </x:row>
    <x:row r="35" ht="22" customHeight="1">
      <x:c r="C35" s="144" t="str">
        <x:v>Revenue less distribution costs</x:v>
      </x:c>
      <x:c r="D35" s="127" t="n">
        <x:f>D34-D32-D33</x:f>
        <x:v>289.4354745824088</x:v>
      </x:c>
      <x:c r="E35" s="127" t="n">
        <x:f>E34-E32-E33</x:f>
        <x:v>300.71896958153206</x:v>
      </x:c>
      <x:c r="F35" s="127" t="n">
        <x:f>F34-F32-F33</x:f>
        <x:v>283.67768651824207</x:v>
      </x:c>
      <x:c r="G35" s="127" t="n">
        <x:f>G34-G32-G33</x:f>
        <x:v>303.99830097280045</x:v>
      </x:c>
      <x:c r="H35" s="127" t="n">
        <x:f>H34-H32-H33</x:f>
        <x:v>325.9821266522596</x:v>
      </x:c>
      <x:c r="I35" s="127" t="n">
        <x:f>I34-I32-I33</x:f>
        <x:v>345.90452382281296</x:v>
      </x:c>
      <x:c r="J35" s="127" t="n">
        <x:f>J34-J32-J33</x:f>
        <x:v>358.72830637618944</x:v>
      </x:c>
      <x:c r="K35" s="127" t="n">
        <x:f>K34-K32-K33</x:f>
        <x:v>376.736895824676</x:v>
      </x:c>
      <x:c r="L35" s="127" t="n">
        <x:f>L34-L32-L33</x:f>
        <x:v>821.253585291758</x:v>
      </x:c>
      <x:c r="M35" s="127" t="n">
        <x:f>M34-M32-M33</x:f>
        <x:v>1908.6305481469205</x:v>
      </x:c>
      <x:c r="N35" s="127" t="n">
        <x:f>N34-N32-N33</x:f>
        <x:v>2255.3833817448462</x:v>
      </x:c>
      <x:c r="O35" s="127" t="n">
        <x:f>O34-O32-O33</x:f>
        <x:v>2603.6885483444016</x:v>
      </x:c>
    </x:row>
    <x:row r="36" ht="22" customHeight="1">
      <x:c r="C36" s="84" t="str">
        <x:v>Retained yield on corporate-owned USDC</x:v>
      </x:c>
      <x:c r="D36" s="95" t="n">
        <x:f>D19*D13*D9*D14</x:f>
        <x:v>3.023329267241263</x:v>
      </x:c>
      <x:c r="E36" s="95" t="n">
        <x:f>E19*E13*E9*E14</x:f>
        <x:v>3.023329267241263</x:v>
      </x:c>
      <x:c r="F36" s="95" t="n">
        <x:f>F19*F13*F9*F14</x:f>
        <x:v>2.6851101028767124</x:v>
      </x:c>
      <x:c r="G36" s="95" t="n">
        <x:f>G19*G13*G9*G14</x:f>
        <x:v>2.7149446595753424</x:v>
      </x:c>
      <x:c r="H36" s="95" t="n">
        <x:f>H19*H13*H9*H14</x:f>
        <x:v>2.744779216273973</x:v>
      </x:c>
      <x:c r="I36" s="95" t="n">
        <x:f>I19*I13*I9*I14</x:f>
        <x:v>2.744779216273973</x:v>
      </x:c>
      <x:c r="J36" s="95" t="n">
        <x:f>J19*J13*J9*J14</x:f>
        <x:v>2.6938813894520552</x:v>
      </x:c>
      <x:c r="K36" s="95" t="n">
        <x:f>K19*K13*K9*K14</x:f>
        <x:v>2.6938813894520552</x:v>
      </x:c>
      <x:c r="L36" s="95" t="n">
        <x:f>L19*L13*L9*L14</x:f>
        <x:v>5.446968963287672</x:v>
      </x:c>
      <x:c r="M36" s="95" t="n">
        <x:f>M19*M13*M9*M14</x:f>
        <x:v>11.07192195</x:v>
      </x:c>
      <x:c r="N36" s="95" t="n">
        <x:f>N19*N13*N9*N14</x:f>
        <x:v>11.2053186</x:v>
      </x:c>
      <x:c r="O36" s="95" t="n">
        <x:f>O19*O13*O9*O14</x:f>
        <x:v>11.33871525</x:v>
      </x:c>
    </x:row>
    <x:row r="37" ht="22" customHeight="1">
      <x:c r="C37" s="84" t="str">
        <x:v>Retained income from customer reserve pool</x:v>
      </x:c>
      <x:c r="D37" s="95" t="n">
        <x:f>D35-D36</x:f>
        <x:v>286.41214531516755</x:v>
      </x:c>
      <x:c r="E37" s="95" t="n">
        <x:f>E35-E36</x:f>
        <x:v>297.6956403142908</x:v>
      </x:c>
      <x:c r="F37" s="95" t="n">
        <x:f>F35-F36</x:f>
        <x:v>280.99257641536536</x:v>
      </x:c>
      <x:c r="G37" s="95" t="n">
        <x:f>G35-G36</x:f>
        <x:v>301.2833563132251</x:v>
      </x:c>
      <x:c r="H37" s="95" t="n">
        <x:f>H35-H36</x:f>
        <x:v>323.2373474359856</x:v>
      </x:c>
      <x:c r="I37" s="95" t="n">
        <x:f>I35-I36</x:f>
        <x:v>343.159744606539</x:v>
      </x:c>
      <x:c r="J37" s="95" t="n">
        <x:f>J35-J36</x:f>
        <x:v>356.0344249867374</x:v>
      </x:c>
      <x:c r="K37" s="95" t="n">
        <x:f>K35-K36</x:f>
        <x:v>374.043014435224</x:v>
      </x:c>
      <x:c r="L37" s="95" t="n">
        <x:f>L35-L36</x:f>
        <x:v>815.8066163284703</x:v>
      </x:c>
      <x:c r="M37" s="95" t="n">
        <x:f>M35-M36</x:f>
        <x:v>1897.5586261969206</x:v>
      </x:c>
      <x:c r="N37" s="95" t="n">
        <x:f>N35-N36</x:f>
        <x:v>2244.1780631448464</x:v>
      </x:c>
      <x:c r="O37" s="95" t="n">
        <x:f>O35-O36</x:f>
        <x:v>2592.3498330944017</x:v>
      </x:c>
    </x:row>
    <x:row r="38" ht="22" customHeight="1">
      <x:c r="C38" s="87" t="str">
        <x:v>RLDC margin</x:v>
      </x:c>
      <x:c r="D38" s="138" t="n">
        <x:f>IF(D34=0,0,D35/D34)</x:f>
        <x:v>0.41359062775393146</x:v>
      </x:c>
      <x:c r="E38" s="138" t="n">
        <x:f>IF(E34=0,0,E35/E34)</x:f>
        <x:v>0.4143996542198977</x:v>
      </x:c>
      <x:c r="F38" s="138" t="n">
        <x:f>IF(F34=0,0,F35/F34)</x:f>
        <x:v>0.42786165899007095</x:v>
      </x:c>
      <x:c r="G38" s="138" t="n">
        <x:f>IF(G34=0,0,G35/G34)</x:f>
        <x:v>0.42867085833487084</x:v>
      </x:c>
      <x:c r="H38" s="138" t="n">
        <x:f>IF(H34=0,0,H35/H34)</x:f>
        <x:v>0.4295082517647619</x:v>
      </x:c>
      <x:c r="I38" s="138" t="n">
        <x:f>IF(I34=0,0,I35/I34)</x:f>
        <x:v>0.4303698547824959</x:v>
      </x:c>
      <x:c r="J38" s="138" t="n">
        <x:f>IF(J34=0,0,J35/J34)</x:f>
        <x:v>0.44171409337098677</x:v>
      </x:c>
      <x:c r="K38" s="138" t="n">
        <x:f>IF(K34=0,0,K35/K34)</x:f>
        <x:v>0.44264861835663327</x:v>
      </x:c>
      <x:c r="L38" s="138" t="n">
        <x:f>IF(L34=0,0,L35/L34)</x:f>
        <x:v>0.44414908468084807</x:v>
      </x:c>
      <x:c r="M38" s="138" t="n">
        <x:f>IF(M34=0,0,M35/M34)</x:f>
        <x:v>0.4563245040437673</x:v>
      </x:c>
      <x:c r="N38" s="138" t="n">
        <x:f>IF(N34=0,0,N35/N34)</x:f>
        <x:v>0.4644512343536884</x:v>
      </x:c>
      <x:c r="O38" s="138" t="n">
        <x:f>IF(O34=0,0,O35/O34)</x:f>
        <x:v>0.472097474118786</x:v>
      </x:c>
    </x:row>
    <x:row r="39" ht="22" customHeight="1">
      <x:c r="C39" s="84" t="str">
        <x:v>Expense run rate, opening</x:v>
      </x:c>
      <x:c r="D39" s="142" t="n">
        <x:f>Sources!$D$37</x:f>
        <x:v>683.9599999999999</x:v>
      </x:c>
      <x:c r="E39" s="95" t="n">
        <x:f>D40</x:f>
        <x:v>697.3572517701343</x:v>
      </x:c>
      <x:c r="F39" s="95" t="n">
        <x:f>E40</x:f>
        <x:v>711.0169258383452</x:v>
      </x:c>
      <x:c r="G39" s="95" t="n">
        <x:f>F40</x:f>
        <x:v>731.1658350764199</x:v>
      </x:c>
      <x:c r="H39" s="95" t="n">
        <x:f>G40</x:f>
        <x:v>752.1192161730968</x:v>
      </x:c>
      <x:c r="I39" s="95" t="n">
        <x:f>H40</x:f>
        <x:v>773.9133233773806</x:v>
      </x:c>
      <x:c r="J39" s="95" t="n">
        <x:f>I40</x:f>
        <x:v>796.3389569389468</x:v>
      </x:c>
      <x:c r="K39" s="95" t="n">
        <x:f>J40</x:f>
        <x:v>819.1600364347195</x:v>
      </x:c>
      <x:c r="L39" s="95" t="n">
        <x:f>K40</x:f>
        <x:v>842.6351108968495</x:v>
      </x:c>
      <x:c r="M39" s="95" t="n">
        <x:f>L40</x:f>
        <x:v>892.1766002815409</x:v>
      </x:c>
      <x:c r="N39" s="95" t="n">
        <x:f>M40</x:f>
        <x:v>981.394260309695</x:v>
      </x:c>
      <x:c r="O39" s="95" t="n">
        <x:f>N40</x:f>
        <x:v>1059.9058011344707</x:v>
      </x:c>
    </x:row>
    <x:row r="40" ht="22" customHeight="1">
      <x:c r="C40" s="84" t="str">
        <x:v>Expense run rate, closing</x:v>
      </x:c>
      <x:c r="D40" s="142" t="n">
        <x:f>D39*(1+Assumptions!D33)^D9</x:f>
        <x:v>697.3572517701343</x:v>
      </x:c>
      <x:c r="E40" s="142" t="n">
        <x:f>E39*(1+Assumptions!E33)^E9</x:f>
        <x:v>711.0169258383452</x:v>
      </x:c>
      <x:c r="F40" s="142" t="n">
        <x:f>F39*(1+Assumptions!F33)^F9</x:f>
        <x:v>731.1658350764199</x:v>
      </x:c>
      <x:c r="G40" s="142" t="n">
        <x:f>G39*(1+Assumptions!G33)^G9</x:f>
        <x:v>752.1192161730968</x:v>
      </x:c>
      <x:c r="H40" s="142" t="n">
        <x:f>H39*(1+Assumptions!H33)^H9</x:f>
        <x:v>773.9133233773806</x:v>
      </x:c>
      <x:c r="I40" s="142" t="n">
        <x:f>I39*(1+Assumptions!I33)^I9</x:f>
        <x:v>796.3389569389468</x:v>
      </x:c>
      <x:c r="J40" s="142" t="n">
        <x:f>J39*(1+Assumptions!J33)^J9</x:f>
        <x:v>819.1600364347195</x:v>
      </x:c>
      <x:c r="K40" s="142" t="n">
        <x:f>K39*(1+Assumptions!K33)^K9</x:f>
        <x:v>842.6351108968495</x:v>
      </x:c>
      <x:c r="L40" s="142" t="n">
        <x:f>L39*(1+Assumptions!L33)^L9</x:f>
        <x:v>892.1766002815409</x:v>
      </x:c>
      <x:c r="M40" s="142" t="n">
        <x:f>M39*(1+Assumptions!M33)^M9</x:f>
        <x:v>981.394260309695</x:v>
      </x:c>
      <x:c r="N40" s="142" t="n">
        <x:f>N39*(1+Assumptions!N33)^N9</x:f>
        <x:v>1059.9058011344707</x:v>
      </x:c>
      <x:c r="O40" s="142" t="n">
        <x:f>O39*(1+Assumptions!O33)^O9</x:f>
        <x:v>1144.6982652252284</x:v>
      </x:c>
    </x:row>
    <x:row r="41" ht="22" customHeight="1">
      <x:c r="C41" s="84" t="str">
        <x:v>Operating expense excluding SBC and D&amp;A</x:v>
      </x:c>
      <x:c r="D41" s="95" t="n">
        <x:f>(D39+D40)/2*D9</x:f>
        <x:v>174.0838180313046</x:v>
      </x:c>
      <x:c r="E41" s="95" t="n">
        <x:f>(E39+E40)/2*E9</x:f>
        <x:v>177.4937319725755</x:v>
      </x:c>
      <x:c r="F41" s="95" t="n">
        <x:f>(F39+F40)/2*F9</x:f>
        <x:v>177.80335408538195</x:v>
      </x:c>
      <x:c r="G41" s="95" t="n">
        <x:f>(G39+G40)/2*G9</x:f>
        <x:v>184.90265707356988</x:v>
      </x:c>
      <x:c r="H41" s="95" t="n">
        <x:f>(H39+H40)/2*H9</x:f>
        <x:v>192.32190909403278</x:v>
      </x:c>
      <x:c r="I41" s="95" t="n">
        <x:f>(I39+I40)/2*I9</x:f>
        <x:v>197.8948079302769</x:v>
      </x:c>
      <x:c r="J41" s="95" t="n">
        <x:f>(J39+J40)/2*J9</x:f>
        <x:v>201.3841210917858</x:v>
      </x:c>
      <x:c r="K41" s="95" t="n">
        <x:f>(K39+K40)/2*K9</x:f>
        <x:v>207.15528548927776</x:v>
      </x:c>
      <x:c r="L41" s="95" t="n">
        <x:f>(L39+L40)/2*L9</x:f>
        <x:v>437.2676093929094</x:v>
      </x:c>
      <x:c r="M41" s="95" t="n">
        <x:f>(M39+M40)/2*M9</x:f>
        <x:v>936.785430295618</x:v>
      </x:c>
      <x:c r="N41" s="95" t="n">
        <x:f>(N39+N40)/2*N9</x:f>
        <x:v>1020.6500307220829</x:v>
      </x:c>
      <x:c r="O41" s="95" t="n">
        <x:f>(O39+O40)/2*O9</x:f>
        <x:v>1102.3020331798496</x:v>
      </x:c>
    </x:row>
    <x:row r="42" ht="22" customHeight="1">
      <x:c r="C42" s="84" t="str">
        <x:v>Expensed stock compensation</x:v>
      </x:c>
      <x:c r="D42" s="142" t="n">
        <x:f>Assumptions!D38*D9</x:f>
        <x:v>54.04054794520548</x:v>
      </x:c>
      <x:c r="E42" s="142" t="n">
        <x:f>Assumptions!E38*E9</x:f>
        <x:v>54.04054794520548</x:v>
      </x:c>
      <x:c r="F42" s="142" t="n">
        <x:f>Assumptions!F38*F9</x:f>
        <x:v>58.1917808219178</x:v>
      </x:c>
      <x:c r="G42" s="142" t="n">
        <x:f>Assumptions!G38*G9</x:f>
        <x:v>58.83835616438356</x:v>
      </x:c>
      <x:c r="H42" s="142" t="n">
        <x:f>Assumptions!H38*H9</x:f>
        <x:v>59.48493150684932</x:v>
      </x:c>
      <x:c r="I42" s="142" t="n">
        <x:f>Assumptions!I38*I9</x:f>
        <x:v>59.48493150684932</x:v>
      </x:c>
      <x:c r="J42" s="142" t="n">
        <x:f>Assumptions!J38*J9</x:f>
        <x:v>64.82191780821918</x:v>
      </x:c>
      <x:c r="K42" s="142" t="n">
        <x:f>Assumptions!K38*K9</x:f>
        <x:v>64.82191780821918</x:v>
      </x:c>
      <x:c r="L42" s="142" t="n">
        <x:f>Assumptions!L38*L9</x:f>
        <x:v>131.06849315068493</x:v>
      </x:c>
      <x:c r="M42" s="142" t="n">
        <x:f>Assumptions!M38*M9</x:f>
        <x:v>285</x:v>
      </x:c>
      <x:c r="N42" s="142" t="n">
        <x:f>Assumptions!N38*N9</x:f>
        <x:v>310</x:v>
      </x:c>
      <x:c r="O42" s="142" t="n">
        <x:f>Assumptions!O38*O9</x:f>
        <x:v>335</x:v>
      </x:c>
    </x:row>
    <x:row r="43" ht="22" customHeight="1">
      <x:c r="C43" s="84" t="str">
        <x:v>Existing award cost recognized</x:v>
      </x:c>
      <x:c r="D43" s="142" t="n">
        <x:f>Sources!$D$92*(MIN(D11,Sources!$D$93)-MIN(D10,Sources!$D$93))/Sources!$D$93+Sources!$D$94*(MIN(D11,Sources!$D$95)-MIN(D10,Sources!$D$95))/Sources!$D$95+Sources!$D$96*(MIN(D11,Sources!$D$97)-MIN(D10,Sources!$D$97))/Sources!$D$97+Sources!$D$98*(MIN(D11,Sources!$D$99)-MIN(D10,Sources!$D$99))/Sources!$D$99</x:f>
        <x:v>38.19915525114155</x:v>
      </x:c>
      <x:c r="E43" s="142" t="n">
        <x:f>Sources!$D$92*(MIN(E11,Sources!$D$93)-MIN(E10,Sources!$D$93))/Sources!$D$93+Sources!$D$94*(MIN(E11,Sources!$D$95)-MIN(E10,Sources!$D$95))/Sources!$D$95+Sources!$D$96*(MIN(E11,Sources!$D$97)-MIN(E10,Sources!$D$97))/Sources!$D$97+Sources!$D$98*(MIN(E11,Sources!$D$99)-MIN(E10,Sources!$D$99))/Sources!$D$99</x:f>
        <x:v>37.39915525114155</x:v>
      </x:c>
      <x:c r="F43" s="142" t="n">
        <x:f>Sources!$D$92*(MIN(F11,Sources!$D$93)-MIN(F10,Sources!$D$93))/Sources!$D$93+Sources!$D$94*(MIN(F11,Sources!$D$95)-MIN(F10,Sources!$D$95))/Sources!$D$95+Sources!$D$96*(MIN(F11,Sources!$D$97)-MIN(F10,Sources!$D$97))/Sources!$D$97+Sources!$D$98*(MIN(F11,Sources!$D$99)-MIN(F10,Sources!$D$99))/Sources!$D$99</x:f>
        <x:v>36.58613013698629</x:v>
      </x:c>
      <x:c r="G43" s="142" t="n">
        <x:f>Sources!$D$92*(MIN(G11,Sources!$D$93)-MIN(G10,Sources!$D$93))/Sources!$D$93+Sources!$D$94*(MIN(G11,Sources!$D$95)-MIN(G10,Sources!$D$95))/Sources!$D$95+Sources!$D$96*(MIN(G11,Sources!$D$97)-MIN(G10,Sources!$D$97))/Sources!$D$97+Sources!$D$98*(MIN(G11,Sources!$D$99)-MIN(G10,Sources!$D$99))/Sources!$D$99</x:f>
        <x:v>36.992642694063925</x:v>
      </x:c>
      <x:c r="H43" s="142" t="n">
        <x:f>Sources!$D$92*(MIN(H11,Sources!$D$93)-MIN(H10,Sources!$D$93))/Sources!$D$93+Sources!$D$94*(MIN(H11,Sources!$D$95)-MIN(H10,Sources!$D$95))/Sources!$D$95+Sources!$D$96*(MIN(H11,Sources!$D$97)-MIN(H10,Sources!$D$97))/Sources!$D$97+Sources!$D$98*(MIN(H11,Sources!$D$99)-MIN(H10,Sources!$D$99))/Sources!$D$99</x:f>
        <x:v>37.39915525114156</x:v>
      </x:c>
      <x:c r="I43" s="142" t="n">
        <x:f>Sources!$D$92*(MIN(I11,Sources!$D$93)-MIN(I10,Sources!$D$93))/Sources!$D$93+Sources!$D$94*(MIN(I11,Sources!$D$95)-MIN(I10,Sources!$D$95))/Sources!$D$95+Sources!$D$96*(MIN(I11,Sources!$D$97)-MIN(I10,Sources!$D$97))/Sources!$D$97+Sources!$D$98*(MIN(I11,Sources!$D$99)-MIN(I10,Sources!$D$99))/Sources!$D$99</x:f>
        <x:v>37.328470319634704</x:v>
      </x:c>
      <x:c r="J43" s="142" t="n">
        <x:f>Sources!$D$92*(MIN(J11,Sources!$D$93)-MIN(J10,Sources!$D$93))/Sources!$D$93+Sources!$D$94*(MIN(J11,Sources!$D$95)-MIN(J10,Sources!$D$95))/Sources!$D$95+Sources!$D$96*(MIN(J11,Sources!$D$97)-MIN(J10,Sources!$D$97))/Sources!$D$97+Sources!$D$98*(MIN(J11,Sources!$D$99)-MIN(J10,Sources!$D$99))/Sources!$D$99</x:f>
        <x:v>32.70442351598173</x:v>
      </x:c>
      <x:c r="K43" s="142" t="n">
        <x:f>Sources!$D$92*(MIN(K11,Sources!$D$93)-MIN(K10,Sources!$D$93))/Sources!$D$93+Sources!$D$94*(MIN(K11,Sources!$D$95)-MIN(K10,Sources!$D$95))/Sources!$D$95+Sources!$D$96*(MIN(K11,Sources!$D$97)-MIN(K10,Sources!$D$97))/Sources!$D$97+Sources!$D$98*(MIN(K11,Sources!$D$99)-MIN(K10,Sources!$D$99))/Sources!$D$99</x:f>
        <x:v>32.70442351598173</x:v>
      </x:c>
      <x:c r="L43" s="142" t="n">
        <x:f>Sources!$D$92*(MIN(L11,Sources!$D$93)-MIN(L10,Sources!$D$93))/Sources!$D$93+Sources!$D$94*(MIN(L11,Sources!$D$95)-MIN(L10,Sources!$D$95))/Sources!$D$95+Sources!$D$96*(MIN(L11,Sources!$D$97)-MIN(L10,Sources!$D$97))/Sources!$D$97+Sources!$D$98*(MIN(L11,Sources!$D$99)-MIN(L10,Sources!$D$99))/Sources!$D$99</x:f>
        <x:v>65.75810502283106</x:v>
      </x:c>
      <x:c r="M43" s="142" t="n">
        <x:f>Sources!$D$92*(MIN(M11,Sources!$D$93)-MIN(M10,Sources!$D$93))/Sources!$D$93+Sources!$D$94*(MIN(M11,Sources!$D$95)-MIN(M10,Sources!$D$95))/Sources!$D$95+Sources!$D$96*(MIN(M11,Sources!$D$97)-MIN(M10,Sources!$D$97))/Sources!$D$97+Sources!$D$98*(MIN(M11,Sources!$D$99)-MIN(M10,Sources!$D$99))/Sources!$D$99</x:f>
        <x:v>88.52833904109588</x:v>
      </x:c>
      <x:c r="N43" s="142" t="n">
        <x:f>Sources!$D$92*(MIN(N11,Sources!$D$93)-MIN(N10,Sources!$D$93))/Sources!$D$93+Sources!$D$94*(MIN(N11,Sources!$D$95)-MIN(N10,Sources!$D$95))/Sources!$D$95+Sources!$D$96*(MIN(N11,Sources!$D$97)-MIN(N10,Sources!$D$97))/Sources!$D$97+Sources!$D$98*(MIN(N11,Sources!$D$99)-MIN(N10,Sources!$D$99))/Sources!$D$99</x:f>
        <x:v>0</x:v>
      </x:c>
      <x:c r="O43" s="142" t="n">
        <x:f>Sources!$D$92*(MIN(O11,Sources!$D$93)-MIN(O10,Sources!$D$93))/Sources!$D$93+Sources!$D$94*(MIN(O11,Sources!$D$95)-MIN(O10,Sources!$D$95))/Sources!$D$95+Sources!$D$96*(MIN(O11,Sources!$D$97)-MIN(O10,Sources!$D$97))/Sources!$D$97+Sources!$D$98*(MIN(O11,Sources!$D$99)-MIN(O10,Sources!$D$99))/Sources!$D$99</x:f>
        <x:v>0</x:v>
      </x:c>
    </x:row>
    <x:row r="44" ht="22" customHeight="1">
      <x:c r="C44" s="84" t="str">
        <x:v>Existing award expense</x:v>
      </x:c>
      <x:c r="D44" s="142" t="n">
        <x:f>D43/(1+Sources!$D$38)</x:f>
        <x:v>31.307059169380388</x:v>
      </x:c>
      <x:c r="E44" s="142" t="n">
        <x:f>E43/(1+Sources!$D$38)</x:f>
        <x:v>30.65139945201646</x:v>
      </x:c>
      <x:c r="F44" s="142" t="n">
        <x:f>F43/(1+Sources!$D$38)</x:f>
        <x:v>29.98506468132044</x:v>
      </x:c>
      <x:c r="G44" s="142" t="n">
        <x:f>G43/(1+Sources!$D$38)</x:f>
        <x:v>30.318232066668454</x:v>
      </x:c>
      <x:c r="H44" s="142" t="n">
        <x:f>H43/(1+Sources!$D$38)</x:f>
        <x:v>30.651399452016467</x:v>
      </x:c>
      <x:c r="I44" s="142" t="n">
        <x:f>I43/(1+Sources!$D$38)</x:f>
        <x:v>30.593467874249374</x:v>
      </x:c>
      <x:c r="J44" s="142" t="n">
        <x:f>J43/(1+Sources!$D$38)</x:f>
        <x:v>26.803716348798517</x:v>
      </x:c>
      <x:c r="K44" s="142" t="n">
        <x:f>K43/(1+Sources!$D$38)</x:f>
        <x:v>26.803716348798517</x:v>
      </x:c>
      <x:c r="L44" s="142" t="n">
        <x:f>L43/(1+Sources!$D$38)</x:f>
        <x:v>53.89367569207121</x:v>
      </x:c>
      <x:c r="M44" s="142" t="n">
        <x:f>M43/(1+Sources!$D$38)</x:f>
        <x:v>72.55558219297875</x:v>
      </x:c>
      <x:c r="N44" s="142" t="n">
        <x:f>N43/(1+Sources!$D$38)</x:f>
        <x:v>0</x:v>
      </x:c>
      <x:c r="O44" s="142" t="n">
        <x:f>O43/(1+Sources!$D$38)</x:f>
        <x:v>0</x:v>
      </x:c>
    </x:row>
    <x:row r="45" ht="22" customHeight="1">
      <x:c r="C45" s="84" t="str">
        <x:v>Existing award cost capitalized</x:v>
      </x:c>
      <x:c r="D45" s="95" t="n">
        <x:f>D43-D44</x:f>
        <x:v>6.89209608176116</x:v>
      </x:c>
      <x:c r="E45" s="95" t="n">
        <x:f>E43-E44</x:f>
        <x:v>6.747755799125091</x:v>
      </x:c>
      <x:c r="F45" s="95" t="n">
        <x:f>F43-F44</x:f>
        <x:v>6.60106545566585</x:v>
      </x:c>
      <x:c r="G45" s="95" t="n">
        <x:f>G43-G44</x:f>
        <x:v>6.674410627395471</x:v>
      </x:c>
      <x:c r="H45" s="95" t="n">
        <x:f>H43-H44</x:f>
        <x:v>6.747755799125091</x:v>
      </x:c>
      <x:c r="I45" s="95" t="n">
        <x:f>I43-I44</x:f>
        <x:v>6.73500244538533</x:v>
      </x:c>
      <x:c r="J45" s="95" t="n">
        <x:f>J43-J44</x:f>
        <x:v>5.900707167183214</x:v>
      </x:c>
      <x:c r="K45" s="95" t="n">
        <x:f>K43-K44</x:f>
        <x:v>5.900707167183214</x:v>
      </x:c>
      <x:c r="L45" s="95" t="n">
        <x:f>L43-L44</x:f>
        <x:v>11.864429330759847</x:v>
      </x:c>
      <x:c r="M45" s="95" t="n">
        <x:f>M43-M44</x:f>
        <x:v>15.972756848117129</x:v>
      </x:c>
      <x:c r="N45" s="95" t="n">
        <x:f>N43-N44</x:f>
        <x:v>0</x:v>
      </x:c>
      <x:c r="O45" s="95" t="n">
        <x:f>O43-O44</x:f>
        <x:v>0</x:v>
      </x:c>
    </x:row>
    <x:row r="46" ht="22" customHeight="1">
      <x:c r="C46" s="84" t="str">
        <x:v>New award expense</x:v>
      </x:c>
      <x:c r="D46" s="95" t="n">
        <x:f>IF(D42&gt;=D44,D42-D44,NA())</x:f>
        <x:v>22.733488775825094</x:v>
      </x:c>
      <x:c r="E46" s="95" t="n">
        <x:f>IF(E42&gt;=E44,E42-E44,NA())</x:f>
        <x:v>23.389148493189023</x:v>
      </x:c>
      <x:c r="F46" s="95" t="n">
        <x:f>IF(F42&gt;=F44,F42-F44,NA())</x:f>
        <x:v>28.20671614059736</x:v>
      </x:c>
      <x:c r="G46" s="95" t="n">
        <x:f>IF(G42&gt;=G44,G42-G44,NA())</x:f>
        <x:v>28.520124097715108</x:v>
      </x:c>
      <x:c r="H46" s="95" t="n">
        <x:f>IF(H42&gt;=H44,H42-H44,NA())</x:f>
        <x:v>28.833532054832855</x:v>
      </x:c>
      <x:c r="I46" s="95" t="n">
        <x:f>IF(I42&gt;=I44,I42-I44,NA())</x:f>
        <x:v>28.891463632599947</x:v>
      </x:c>
      <x:c r="J46" s="95" t="n">
        <x:f>IF(J42&gt;=J44,J42-J44,NA())</x:f>
        <x:v>38.018201459420666</x:v>
      </x:c>
      <x:c r="K46" s="95" t="n">
        <x:f>IF(K42&gt;=K44,K42-K44,NA())</x:f>
        <x:v>38.018201459420666</x:v>
      </x:c>
      <x:c r="L46" s="95" t="n">
        <x:f>IF(L42&gt;=L44,L42-L44,NA())</x:f>
        <x:v>77.17481745861372</x:v>
      </x:c>
      <x:c r="M46" s="95" t="n">
        <x:f>IF(M42&gt;=M44,M42-M44,NA())</x:f>
        <x:v>212.44441780702124</x:v>
      </x:c>
      <x:c r="N46" s="95" t="n">
        <x:f>IF(N42&gt;=N44,N42-N44,NA())</x:f>
        <x:v>310</x:v>
      </x:c>
      <x:c r="O46" s="95" t="n">
        <x:f>IF(O42&gt;=O44,O42-O44,NA())</x:f>
        <x:v>335</x:v>
      </x:c>
    </x:row>
    <x:row r="47" ht="22" customHeight="1">
      <x:c r="C47" s="84" t="str">
        <x:v>New award cost capitalized</x:v>
      </x:c>
      <x:c r="D47" s="142" t="n">
        <x:f>D46*Sources!$D$38</x:f>
        <x:v>5.004666457776604</x:v>
      </x:c>
      <x:c r="E47" s="142" t="n">
        <x:f>E46*Sources!$D$38</x:f>
        <x:v>5.149006740412674</x:v>
      </x:c>
      <x:c r="F47" s="142" t="n">
        <x:f>F46*Sources!$D$38</x:f>
        <x:v>6.2095707150320605</x:v>
      </x:c>
      <x:c r="G47" s="142" t="n">
        <x:f>G46*Sources!$D$38</x:f>
        <x:v>6.278565945199083</x:v>
      </x:c>
      <x:c r="H47" s="142" t="n">
        <x:f>H46*Sources!$D$38</x:f>
        <x:v>6.347561175366105</x:v>
      </x:c>
      <x:c r="I47" s="142" t="n">
        <x:f>I46*Sources!$D$38</x:f>
        <x:v>6.360314529105869</x:v>
      </x:c>
      <x:c r="J47" s="142" t="n">
        <x:f>J46*Sources!$D$38</x:f>
        <x:v>8.369521260251464</x:v>
      </x:c>
      <x:c r="K47" s="142" t="n">
        <x:f>K46*Sources!$D$38</x:f>
        <x:v>8.369521260251464</x:v>
      </x:c>
      <x:c r="L47" s="142" t="n">
        <x:f>L46*Sources!$D$38</x:f>
        <x:v>16.98965891811906</x:v>
      </x:c>
      <x:c r="M47" s="142" t="n">
        <x:f>M46*Sources!$D$38</x:f>
        <x:v>46.76860038619784</x:v>
      </x:c>
      <x:c r="N47" s="142" t="n">
        <x:f>N46*Sources!$D$38</x:f>
        <x:v>68.24498506188647</x:v>
      </x:c>
      <x:c r="O47" s="142" t="n">
        <x:f>O46*Sources!$D$38</x:f>
        <x:v>73.74861288945795</x:v>
      </x:c>
    </x:row>
    <x:row r="48" ht="22" customHeight="1">
      <x:c r="C48" s="84" t="str">
        <x:v>Total capitalized stock compensation</x:v>
      </x:c>
      <x:c r="D48" s="95" t="n">
        <x:f>D45+D47</x:f>
        <x:v>11.896762539537765</x:v>
      </x:c>
      <x:c r="E48" s="95" t="n">
        <x:f>E45+E47</x:f>
        <x:v>11.896762539537765</x:v>
      </x:c>
      <x:c r="F48" s="95" t="n">
        <x:f>F45+F47</x:f>
        <x:v>12.810636170697911</x:v>
      </x:c>
      <x:c r="G48" s="95" t="n">
        <x:f>G45+G47</x:f>
        <x:v>12.952976572594554</x:v>
      </x:c>
      <x:c r="H48" s="95" t="n">
        <x:f>H45+H47</x:f>
        <x:v>13.095316974491197</x:v>
      </x:c>
      <x:c r="I48" s="95" t="n">
        <x:f>I45+I47</x:f>
        <x:v>13.0953169744912</x:v>
      </x:c>
      <x:c r="J48" s="95" t="n">
        <x:f>J45+J47</x:f>
        <x:v>14.270228427434677</x:v>
      </x:c>
      <x:c r="K48" s="95" t="n">
        <x:f>K45+K47</x:f>
        <x:v>14.270228427434677</x:v>
      </x:c>
      <x:c r="L48" s="95" t="n">
        <x:f>L45+L47</x:f>
        <x:v>28.854088248878906</x:v>
      </x:c>
      <x:c r="M48" s="95" t="n">
        <x:f>M45+M47</x:f>
        <x:v>62.74135723431497</x:v>
      </x:c>
      <x:c r="N48" s="95" t="n">
        <x:f>N45+N47</x:f>
        <x:v>68.24498506188647</x:v>
      </x:c>
      <x:c r="O48" s="95" t="n">
        <x:f>O45+O47</x:f>
        <x:v>73.74861288945795</x:v>
      </x:c>
    </x:row>
    <x:row r="49" ht="22" customHeight="1">
      <x:c r="C49" s="84" t="str">
        <x:v>Cash software capital expenditure</x:v>
      </x:c>
      <x:c r="D49" s="142" t="n">
        <x:f>D37*Assumptions!D43</x:f>
        <x:v>17.757553009540388</x:v>
      </x:c>
      <x:c r="E49" s="142" t="n">
        <x:f>E37*Assumptions!E43</x:f>
        <x:v>18.457129699486032</x:v>
      </x:c>
      <x:c r="F49" s="142" t="n">
        <x:f>F37*Assumptions!F43</x:f>
        <x:v>17.421539737752653</x:v>
      </x:c>
      <x:c r="G49" s="142" t="n">
        <x:f>G37*Assumptions!G43</x:f>
        <x:v>18.679568091419956</x:v>
      </x:c>
      <x:c r="H49" s="142" t="n">
        <x:f>H37*Assumptions!H43</x:f>
        <x:v>20.04071554103111</x:v>
      </x:c>
      <x:c r="I49" s="142" t="n">
        <x:f>I37*Assumptions!I43</x:f>
        <x:v>21.275904165605418</x:v>
      </x:c>
      <x:c r="J49" s="142" t="n">
        <x:f>J37*Assumptions!J43</x:f>
        <x:v>21.362065499204242</x:v>
      </x:c>
      <x:c r="K49" s="142" t="n">
        <x:f>K37*Assumptions!K43</x:f>
        <x:v>22.44258086611344</x:v>
      </x:c>
      <x:c r="L49" s="142" t="n">
        <x:f>L37*Assumptions!L43</x:f>
        <x:v>48.94839697970822</x:v>
      </x:c>
      <x:c r="M49" s="142" t="n">
        <x:f>M37*Assumptions!M43</x:f>
        <x:v>110.0584003194214</x:v>
      </x:c>
      <x:c r="N49" s="142" t="n">
        <x:f>N37*Assumptions!N43</x:f>
        <x:v>125.6739715361114</x:v>
      </x:c>
      <x:c r="O49" s="142" t="n">
        <x:f>O37*Assumptions!O43</x:f>
        <x:v>142.5792408201921</x:v>
      </x:c>
    </x:row>
    <x:row r="50" ht="22" customHeight="1">
      <x:c r="C50" s="84" t="str">
        <x:v>Cash PPE capital expenditure</x:v>
      </x:c>
      <x:c r="D50" s="142" t="n">
        <x:f>D37*Assumptions!D48</x:f>
        <x:v>5.155418615673016</x:v>
      </x:c>
      <x:c r="E50" s="142" t="n">
        <x:f>E37*Assumptions!E48</x:f>
        <x:v>5.358521525657234</x:v>
      </x:c>
      <x:c r="F50" s="142" t="n">
        <x:f>F37*Assumptions!F48</x:f>
        <x:v>5.057866375476576</x:v>
      </x:c>
      <x:c r="G50" s="142" t="n">
        <x:f>G37*Assumptions!G48</x:f>
        <x:v>5.423100413638052</x:v>
      </x:c>
      <x:c r="H50" s="142" t="n">
        <x:f>H37*Assumptions!H48</x:f>
        <x:v>5.8182722538477405</x:v>
      </x:c>
      <x:c r="I50" s="142" t="n">
        <x:f>I37*Assumptions!I48</x:f>
        <x:v>6.176875402917702</x:v>
      </x:c>
      <x:c r="J50" s="142" t="n">
        <x:f>J37*Assumptions!J48</x:f>
        <x:v>6.052585224774536</x:v>
      </x:c>
      <x:c r="K50" s="142" t="n">
        <x:f>K37*Assumptions!K48</x:f>
        <x:v>6.3587312453988085</x:v>
      </x:c>
      <x:c r="L50" s="142" t="n">
        <x:f>L37*Assumptions!L48</x:f>
        <x:v>13.868712477583998</x:v>
      </x:c>
      <x:c r="M50" s="142" t="n">
        <x:f>M37*Assumptions!M48</x:f>
        <x:v>30.36093801915073</x:v>
      </x:c>
      <x:c r="N50" s="142" t="n">
        <x:f>N37*Assumptions!N48</x:f>
        <x:v>33.66267094717269</x:v>
      </x:c>
      <x:c r="O50" s="142" t="n">
        <x:f>O37*Assumptions!O48</x:f>
        <x:v>38.88524749641602</x:v>
      </x:c>
    </x:row>
    <x:row r="51" ht="22" customHeight="1">
      <x:c r="C51" s="84" t="str">
        <x:v>Total cash capital expenditure</x:v>
      </x:c>
      <x:c r="D51" s="95" t="n">
        <x:f>D49+D50</x:f>
        <x:v>22.9129716252134</x:v>
      </x:c>
      <x:c r="E51" s="95" t="n">
        <x:f>E49+E50</x:f>
        <x:v>23.815651225143267</x:v>
      </x:c>
      <x:c r="F51" s="95" t="n">
        <x:f>F49+F50</x:f>
        <x:v>22.479406113229228</x:v>
      </x:c>
      <x:c r="G51" s="95" t="n">
        <x:f>G49+G50</x:f>
        <x:v>24.102668505058006</x:v>
      </x:c>
      <x:c r="H51" s="95" t="n">
        <x:f>H49+H50</x:f>
        <x:v>25.85898779487885</x:v>
      </x:c>
      <x:c r="I51" s="95" t="n">
        <x:f>I49+I50</x:f>
        <x:v>27.45277956852312</x:v>
      </x:c>
      <x:c r="J51" s="95" t="n">
        <x:f>J49+J50</x:f>
        <x:v>27.414650723978777</x:v>
      </x:c>
      <x:c r="K51" s="95" t="n">
        <x:f>K49+K50</x:f>
        <x:v>28.801312111512246</x:v>
      </x:c>
      <x:c r="L51" s="95" t="n">
        <x:f>L49+L50</x:f>
        <x:v>62.81710945729222</x:v>
      </x:c>
      <x:c r="M51" s="95" t="n">
        <x:f>M49+M50</x:f>
        <x:v>140.41933833857212</x:v>
      </x:c>
      <x:c r="N51" s="95" t="n">
        <x:f>N49+N50</x:f>
        <x:v>159.3366424832841</x:v>
      </x:c>
      <x:c r="O51" s="95" t="n">
        <x:f>O49+O50</x:f>
        <x:v>181.4644883166081</x:v>
      </x:c>
    </x:row>
    <x:row r="52" ht="22" customHeight="1">
      <x:c r="C52" s="84" t="str">
        <x:v>Existing intangible amortization</x:v>
      </x:c>
      <x:c r="D52" s="142" t="n">
        <x:f>MIN(Sources!$D$43,Capital!D11)</x:f>
        <x:v>30.731</x:v>
      </x:c>
      <x:c r="E52" s="142" t="n">
        <x:f>MIN(D53,Capital!E11)</x:f>
        <x:v>30.731</x:v>
      </x:c>
      <x:c r="F52" s="142" t="n">
        <x:f>MIN(E53,Capital!F11)</x:f>
        <x:v>20.806520547945205</x:v>
      </x:c>
      <x:c r="G52" s="142" t="n">
        <x:f>MIN(F53,Capital!G11)</x:f>
        <x:v>21.037704109589043</x:v>
      </x:c>
      <x:c r="H52" s="142" t="n">
        <x:f>MIN(G53,Capital!H11)</x:f>
        <x:v>21.26888767123288</x:v>
      </x:c>
      <x:c r="I52" s="142" t="n">
        <x:f>MIN(H53,Capital!I11)</x:f>
        <x:v>21.26888767123288</x:v>
      </x:c>
      <x:c r="J52" s="142" t="n">
        <x:f>MIN(I53,Capital!J11)</x:f>
        <x:v>4.027122950819672</x:v>
      </x:c>
      <x:c r="K52" s="142" t="n">
        <x:f>MIN(J53,Capital!K11)</x:f>
        <x:v>4.027122950819672</x:v>
      </x:c>
      <x:c r="L52" s="142" t="n">
        <x:f>MIN(K53,Capital!L11)</x:f>
        <x:v>8.142754098360655</x:v>
      </x:c>
      <x:c r="M52" s="142" t="n">
        <x:f>MIN(L53,Capital!M11)</x:f>
        <x:v>1.663</x:v>
      </x:c>
      <x:c r="N52" s="142" t="n">
        <x:f>MIN(M53,Capital!N11)</x:f>
        <x:v>1.663</x:v>
      </x:c>
      <x:c r="O52" s="142" t="n">
        <x:f>MIN(N53,Capital!O11)</x:f>
        <x:v>1.663</x:v>
      </x:c>
    </x:row>
    <x:row r="53" ht="22" customHeight="1">
      <x:c r="C53" s="84" t="str">
        <x:v>Existing amortizing asset balance</x:v>
      </x:c>
      <x:c r="D53" s="95" t="n">
        <x:f>Sources!$D$43-D52</x:f>
        <x:v>149.01600000000002</x:v>
      </x:c>
      <x:c r="E53" s="95" t="n">
        <x:f>D53-E52</x:f>
        <x:v>118.28500000000003</x:v>
      </x:c>
      <x:c r="F53" s="95" t="n">
        <x:f>E53-F52</x:f>
        <x:v>97.47847945205481</x:v>
      </x:c>
      <x:c r="G53" s="95" t="n">
        <x:f>F53-G52</x:f>
        <x:v>76.44077534246577</x:v>
      </x:c>
      <x:c r="H53" s="95" t="n">
        <x:f>G53-H52</x:f>
        <x:v>55.171887671232895</x:v>
      </x:c>
      <x:c r="I53" s="95" t="n">
        <x:f>H53-I52</x:f>
        <x:v>33.90300000000002</x:v>
      </x:c>
      <x:c r="J53" s="95" t="n">
        <x:f>I53-J52</x:f>
        <x:v>29.875877049180346</x:v>
      </x:c>
      <x:c r="K53" s="95" t="n">
        <x:f>J53-K52</x:f>
        <x:v>25.848754098360672</x:v>
      </x:c>
      <x:c r="L53" s="95" t="n">
        <x:f>K53-L52</x:f>
        <x:v>17.706000000000017</x:v>
      </x:c>
      <x:c r="M53" s="95" t="n">
        <x:f>L53-M52</x:f>
        <x:v>16.043000000000017</x:v>
      </x:c>
      <x:c r="N53" s="95" t="n">
        <x:f>M53-N52</x:f>
        <x:v>14.380000000000017</x:v>
      </x:c>
      <x:c r="O53" s="95" t="n">
        <x:f>N53-O52</x:f>
        <x:v>12.717000000000017</x:v>
      </x:c>
    </x:row>
    <x:row r="54" ht="22" customHeight="1">
      <x:c r="C54" s="84" t="str">
        <x:v>New software amortization</x:v>
      </x:c>
      <x:c r="D54" s="142" t="n">
        <x:f>Capital!D32</x:f>
        <x:v>1.2457520687283974</x:v>
      </x:c>
      <x:c r="E54" s="142" t="n">
        <x:f>Capital!E32</x:f>
        <x:v>3.7666448159911274</x:v>
      </x:c>
      <x:c r="F54" s="142" t="n">
        <x:f>Capital!F32</x:f>
        <x:v>6.174599650054294</x:v>
      </x:c>
      <x:c r="G54" s="142" t="n">
        <x:f>Capital!G32</x:f>
        <x:v>8.813840820638301</x:v>
      </x:c>
      <x:c r="H54" s="142" t="n">
        <x:f>Capital!H32</x:f>
        <x:v>11.631567949667758</x:v>
      </x:c>
      <x:c r="I54" s="142" t="n">
        <x:f>Capital!I32</x:f>
        <x:v>14.467489107803349</x:v>
      </x:c>
      <x:c r="J54" s="142" t="n">
        <x:f>Capital!J32</x:f>
        <x:v>17.21905565035159</x:v>
      </x:c>
      <x:c r="K54" s="142" t="n">
        <x:f>Capital!K32</x:f>
        <x:v>20.225176377765756</x:v>
      </x:c>
      <x:c r="L54" s="142" t="n">
        <x:f>Capital!L32</x:f>
        <x:v>50.516238469883696</x:v>
      </x:c>
      <x:c r="M54" s="142" t="n">
        <x:f>Capital!M32</x:f>
        <x:v>136.90868417964506</x:v>
      </x:c>
      <x:c r="N54" s="142" t="n">
        <x:f>Capital!N32</x:f>
        <x:v>161.8900233227319</x:v>
      </x:c>
      <x:c r="O54" s="142" t="n">
        <x:f>Capital!O32</x:f>
        <x:v>183.68261659708645</x:v>
      </x:c>
    </x:row>
    <x:row r="55" ht="22" customHeight="1">
      <x:c r="C55" s="84" t="str">
        <x:v>Total amortization</x:v>
      </x:c>
      <x:c r="D55" s="95" t="n">
        <x:f>D52+D54</x:f>
        <x:v>31.9767520687284</x:v>
      </x:c>
      <x:c r="E55" s="95" t="n">
        <x:f>E52+E54</x:f>
        <x:v>34.49764481599113</x:v>
      </x:c>
      <x:c r="F55" s="95" t="n">
        <x:f>F52+F54</x:f>
        <x:v>26.9811201979995</x:v>
      </x:c>
      <x:c r="G55" s="95" t="n">
        <x:f>G52+G54</x:f>
        <x:v>29.851544930227345</x:v>
      </x:c>
      <x:c r="H55" s="95" t="n">
        <x:f>H52+H54</x:f>
        <x:v>32.90045562090064</x:v>
      </x:c>
      <x:c r="I55" s="95" t="n">
        <x:f>I52+I54</x:f>
        <x:v>35.73637677903623</x:v>
      </x:c>
      <x:c r="J55" s="95" t="n">
        <x:f>J52+J54</x:f>
        <x:v>21.24617860117126</x:v>
      </x:c>
      <x:c r="K55" s="95" t="n">
        <x:f>K52+K54</x:f>
        <x:v>24.25229932858543</x:v>
      </x:c>
      <x:c r="L55" s="95" t="n">
        <x:f>L52+L54</x:f>
        <x:v>58.65899256824435</x:v>
      </x:c>
      <x:c r="M55" s="95" t="n">
        <x:f>M52+M54</x:f>
        <x:v>138.57168417964508</x:v>
      </x:c>
      <x:c r="N55" s="95" t="n">
        <x:f>N52+N54</x:f>
        <x:v>163.55302332273192</x:v>
      </x:c>
      <x:c r="O55" s="95" t="n">
        <x:f>O52+O54</x:f>
        <x:v>185.34561659708646</x:v>
      </x:c>
    </x:row>
    <x:row r="56" ht="22" customHeight="1">
      <x:c r="C56" s="84" t="str">
        <x:v>Existing PPE depreciation</x:v>
      </x:c>
      <x:c r="D56" s="142" t="n">
        <x:f>MIN(Sources!$D$15,Sources!$D$106*D9)</x:f>
        <x:v>1.0142684931506816</x:v>
      </x:c>
      <x:c r="E56" s="142" t="n">
        <x:f>MIN(D57,Sources!$D$106*E9)</x:f>
        <x:v>1.0142684931506816</x:v>
      </x:c>
      <x:c r="F56" s="142" t="n">
        <x:f>MIN(E57,Sources!$D$106*F9)</x:f>
        <x:v>0.9922191780821884</x:v>
      </x:c>
      <x:c r="G56" s="142" t="n">
        <x:f>MIN(F57,Sources!$D$106*G9)</x:f>
        <x:v>1.003243835616435</x:v>
      </x:c>
      <x:c r="H56" s="142" t="n">
        <x:f>MIN(G57,Sources!$D$106*H9)</x:f>
        <x:v>1.0142684931506816</x:v>
      </x:c>
      <x:c r="I56" s="142" t="n">
        <x:f>MIN(H57,Sources!$D$106*I9)</x:f>
        <x:v>1.0142684931506816</x:v>
      </x:c>
      <x:c r="J56" s="142" t="n">
        <x:f>MIN(I57,Sources!$D$106*J9)</x:f>
        <x:v>1.003243835616435</x:v>
      </x:c>
      <x:c r="K56" s="142" t="n">
        <x:f>MIN(J57,Sources!$D$106*K9)</x:f>
        <x:v>1.003243835616435</x:v>
      </x:c>
      <x:c r="L56" s="142" t="n">
        <x:f>MIN(K57,Sources!$D$106*L9)</x:f>
        <x:v>2.028536986301363</x:v>
      </x:c>
      <x:c r="M56" s="142" t="n">
        <x:f>MIN(L57,Sources!$D$106*M9)</x:f>
        <x:v>4.023999999999987</x:v>
      </x:c>
      <x:c r="N56" s="142" t="n">
        <x:f>MIN(M57,Sources!$D$106*N9)</x:f>
        <x:v>4.023999999999987</x:v>
      </x:c>
      <x:c r="O56" s="142" t="n">
        <x:f>MIN(N57,Sources!$D$106*O9)</x:f>
        <x:v>4.023999999999987</x:v>
      </x:c>
    </x:row>
    <x:row r="57" ht="22" customHeight="1">
      <x:c r="C57" s="84" t="str">
        <x:v>Existing PPE balance</x:v>
      </x:c>
      <x:c r="D57" s="95" t="n">
        <x:f>Sources!$D$15-D56</x:f>
        <x:v>21.16273150684932</x:v>
      </x:c>
      <x:c r="E57" s="95" t="n">
        <x:f>D57-E56</x:f>
        <x:v>20.14846301369864</x:v>
      </x:c>
      <x:c r="F57" s="95" t="n">
        <x:f>E57-F56</x:f>
        <x:v>19.15624383561645</x:v>
      </x:c>
      <x:c r="G57" s="95" t="n">
        <x:f>F57-G56</x:f>
        <x:v>18.153000000000016</x:v>
      </x:c>
      <x:c r="H57" s="95" t="n">
        <x:f>G57-H56</x:f>
        <x:v>17.138731506849336</x:v>
      </x:c>
      <x:c r="I57" s="95" t="n">
        <x:f>H57-I56</x:f>
        <x:v>16.124463013698655</x:v>
      </x:c>
      <x:c r="J57" s="95" t="n">
        <x:f>I57-J56</x:f>
        <x:v>15.121219178082221</x:v>
      </x:c>
      <x:c r="K57" s="95" t="n">
        <x:f>J57-K56</x:f>
        <x:v>14.117975342465787</x:v>
      </x:c>
      <x:c r="L57" s="95" t="n">
        <x:f>K57-L56</x:f>
        <x:v>12.089438356164424</x:v>
      </x:c>
      <x:c r="M57" s="95" t="n">
        <x:f>L57-M56</x:f>
        <x:v>8.065438356164437</x:v>
      </x:c>
      <x:c r="N57" s="95" t="n">
        <x:f>M57-N56</x:f>
        <x:v>4.04143835616445</x:v>
      </x:c>
      <x:c r="O57" s="95" t="n">
        <x:f>N57-O56</x:f>
        <x:v>0.017438356164463542</x:v>
      </x:c>
    </x:row>
    <x:row r="58" ht="22" customHeight="1">
      <x:c r="C58" s="84" t="str">
        <x:v>New PPE depreciation</x:v>
      </x:c>
      <x:c r="D58" s="142" t="n">
        <x:f>Capital!D56</x:f>
        <x:v>0.12994479798408698</x:v>
      </x:c>
      <x:c r="E58" s="142" t="n">
        <x:f>Capital!E56</x:f>
        <x:v>0.39495370017652065</x:v>
      </x:c>
      <x:c r="F58" s="142" t="n">
        <x:f>Capital!F56</x:f>
        <x:v>0.6432101915705032</x:v>
      </x:c>
      <x:c r="G58" s="142" t="n">
        <x:f>Capital!G56</x:f>
        <x:v>0.9116632667670972</x:v>
      </x:c>
      <x:c r="H58" s="142" t="n">
        <x:f>Capital!H56</x:f>
        <x:v>1.2050257322070823</x:v>
      </x:c>
      <x:c r="I58" s="142" t="n">
        <x:f>Capital!I56</x:f>
        <x:v>1.5073691799940472</x:v>
      </x:c>
      <x:c r="J58" s="142" t="n">
        <x:f>Capital!J56</x:f>
        <x:v>1.7958836137881533</x:v>
      </x:c>
      <x:c r="K58" s="142" t="n">
        <x:f>Capital!K56</x:f>
        <x:v>2.1053164353732976</x:v>
      </x:c>
      <x:c r="L58" s="142" t="n">
        <x:f>Capital!L56</x:f>
        <x:v>5.276588395888397</x:v>
      </x:c>
      <x:c r="M58" s="142" t="n">
        <x:f>Capital!M56</x:f>
        <x:v>14.890110508908606</x:v>
      </x:c>
      <x:c r="N58" s="142" t="n">
        <x:f>Capital!N56</x:f>
        <x:v>21.29247140554094</x:v>
      </x:c>
      <x:c r="O58" s="142" t="n">
        <x:f>Capital!O56</x:f>
        <x:v>28.016603688648072</x:v>
      </x:c>
    </x:row>
    <x:row r="59" ht="22" customHeight="1">
      <x:c r="C59" s="84" t="str">
        <x:v>Total depreciation</x:v>
      </x:c>
      <x:c r="D59" s="95" t="n">
        <x:f>D56+D58</x:f>
        <x:v>1.1442132911347684</x:v>
      </x:c>
      <x:c r="E59" s="95" t="n">
        <x:f>E56+E58</x:f>
        <x:v>1.4092221933272022</x:v>
      </x:c>
      <x:c r="F59" s="95" t="n">
        <x:f>F56+F58</x:f>
        <x:v>1.6354293696526916</x:v>
      </x:c>
      <x:c r="G59" s="95" t="n">
        <x:f>G56+G58</x:f>
        <x:v>1.9149071023835322</x:v>
      </x:c>
      <x:c r="H59" s="95" t="n">
        <x:f>H56+H58</x:f>
        <x:v>2.219294225357764</x:v>
      </x:c>
      <x:c r="I59" s="95" t="n">
        <x:f>I56+I58</x:f>
        <x:v>2.5216376731447285</x:v>
      </x:c>
      <x:c r="J59" s="95" t="n">
        <x:f>J56+J58</x:f>
        <x:v>2.7991274494045886</x:v>
      </x:c>
      <x:c r="K59" s="95" t="n">
        <x:f>K56+K58</x:f>
        <x:v>3.1085602709897326</x:v>
      </x:c>
      <x:c r="L59" s="95" t="n">
        <x:f>L56+L58</x:f>
        <x:v>7.30512538218976</x:v>
      </x:c>
      <x:c r="M59" s="95" t="n">
        <x:f>M56+M58</x:f>
        <x:v>18.914110508908593</x:v>
      </x:c>
      <x:c r="N59" s="95" t="n">
        <x:f>N56+N58</x:f>
        <x:v>25.316471405540927</x:v>
      </x:c>
      <x:c r="O59" s="95" t="n">
        <x:f>O56+O58</x:f>
        <x:v>32.04060368864806</x:v>
      </x:c>
    </x:row>
    <x:row r="60" ht="22" customHeight="1">
      <x:c r="C60" s="84" t="str">
        <x:v>Total depreciation and amortization</x:v>
      </x:c>
      <x:c r="D60" s="95" t="n">
        <x:f>D55+D59</x:f>
        <x:v>33.12096535986316</x:v>
      </x:c>
      <x:c r="E60" s="95" t="n">
        <x:f>E55+E59</x:f>
        <x:v>35.90686700931833</x:v>
      </x:c>
      <x:c r="F60" s="95" t="n">
        <x:f>F55+F59</x:f>
        <x:v>28.61654956765219</x:v>
      </x:c>
      <x:c r="G60" s="95" t="n">
        <x:f>G55+G59</x:f>
        <x:v>31.76645203261088</x:v>
      </x:c>
      <x:c r="H60" s="95" t="n">
        <x:f>H55+H59</x:f>
        <x:v>35.1197498462584</x:v>
      </x:c>
      <x:c r="I60" s="95" t="n">
        <x:f>I55+I59</x:f>
        <x:v>38.25801445218096</x:v>
      </x:c>
      <x:c r="J60" s="95" t="n">
        <x:f>J55+J59</x:f>
        <x:v>24.045306050575846</x:v>
      </x:c>
      <x:c r="K60" s="95" t="n">
        <x:f>K55+K59</x:f>
        <x:v>27.360859599575164</x:v>
      </x:c>
      <x:c r="L60" s="95" t="n">
        <x:f>L55+L59</x:f>
        <x:v>65.96411795043412</x:v>
      </x:c>
      <x:c r="M60" s="95" t="n">
        <x:f>M55+M59</x:f>
        <x:v>157.48579468855365</x:v>
      </x:c>
      <x:c r="N60" s="95" t="n">
        <x:f>N55+N59</x:f>
        <x:v>188.86949472827285</x:v>
      </x:c>
      <x:c r="O60" s="95" t="n">
        <x:f>O55+O59</x:f>
        <x:v>217.3862202857345</x:v>
      </x:c>
    </x:row>
    <x:row r="61" ht="22" customHeight="1">
      <x:c r="C61" s="84" t="str">
        <x:v>Intangible assets, net</x:v>
      </x:c>
      <x:c r="D61" s="95" t="n">
        <x:f>Sources!$D$18+D49+D48-D55</x:f>
        <x:v>444.25456348034976</x:v>
      </x:c>
      <x:c r="E61" s="95" t="n">
        <x:f>D61+E49+E48-E55</x:f>
        <x:v>440.1108109033824</x:v>
      </x:c>
      <x:c r="F61" s="95" t="n">
        <x:f>E61+F49+F48-F55</x:f>
        <x:v>443.3618666138335</x:v>
      </x:c>
      <x:c r="G61" s="95" t="n">
        <x:f>F61+G49+G48-G55</x:f>
        <x:v>445.14286634762067</x:v>
      </x:c>
      <x:c r="H61" s="95" t="n">
        <x:f>G61+H49+H48-H55</x:f>
        <x:v>445.3784432422423</x:v>
      </x:c>
      <x:c r="I61" s="95" t="n">
        <x:f>H61+I49+I48-I55</x:f>
        <x:v>444.01328760330273</x:v>
      </x:c>
      <x:c r="J61" s="95" t="n">
        <x:f>I61+J49+J48-J55</x:f>
        <x:v>458.39940292877037</x:v>
      </x:c>
      <x:c r="K61" s="95" t="n">
        <x:f>J61+K49+K48-K55</x:f>
        <x:v>470.85991289373305</x:v>
      </x:c>
      <x:c r="L61" s="95" t="n">
        <x:f>K61+L49+L48-L55</x:f>
        <x:v>490.0034055540759</x:v>
      </x:c>
      <x:c r="M61" s="95" t="n">
        <x:f>L61+M49+M48-M55</x:f>
        <x:v>524.2314789281671</x:v>
      </x:c>
      <x:c r="N61" s="95" t="n">
        <x:f>M61+N49+N48-N55</x:f>
        <x:v>554.5974122034331</x:v>
      </x:c>
      <x:c r="O61" s="95" t="n">
        <x:f>N61+O49+O48-O55</x:f>
        <x:v>585.5796493159967</x:v>
      </x:c>
    </x:row>
    <x:row r="62" ht="22" customHeight="1">
      <x:c r="C62" s="84" t="str">
        <x:v>PPE, net</x:v>
      </x:c>
      <x:c r="D62" s="95" t="n">
        <x:f>Sources!$D$15+D50-D59</x:f>
        <x:v>26.188205324538245</x:v>
      </x:c>
      <x:c r="E62" s="95" t="n">
        <x:f>D62+E50-E59</x:f>
        <x:v>30.137504656868277</x:v>
      </x:c>
      <x:c r="F62" s="95" t="n">
        <x:f>E62+F50-F59</x:f>
        <x:v>33.55994166269216</x:v>
      </x:c>
      <x:c r="G62" s="95" t="n">
        <x:f>F62+G50-G59</x:f>
        <x:v>37.068134973946684</x:v>
      </x:c>
      <x:c r="H62" s="95" t="n">
        <x:f>G62+H50-H59</x:f>
        <x:v>40.66711300243666</x:v>
      </x:c>
      <x:c r="I62" s="95" t="n">
        <x:f>H62+I50-I59</x:f>
        <x:v>44.32235073220963</x:v>
      </x:c>
      <x:c r="J62" s="95" t="n">
        <x:f>I62+J50-J59</x:f>
        <x:v>47.57580850757958</x:v>
      </x:c>
      <x:c r="K62" s="95" t="n">
        <x:f>J62+K50-K59</x:f>
        <x:v>50.825979481988654</x:v>
      </x:c>
      <x:c r="L62" s="95" t="n">
        <x:f>K62+L50-L59</x:f>
        <x:v>57.389566577382894</x:v>
      </x:c>
      <x:c r="M62" s="95" t="n">
        <x:f>L62+M50-M59</x:f>
        <x:v>68.83639408762504</x:v>
      </x:c>
      <x:c r="N62" s="95" t="n">
        <x:f>M62+N50-N59</x:f>
        <x:v>77.1825936292568</x:v>
      </x:c>
      <x:c r="O62" s="95" t="n">
        <x:f>N62+O50-O59</x:f>
        <x:v>84.02723743702477</x:v>
      </x:c>
    </x:row>
    <x:row r="63" ht="22" customHeight="1">
      <x:c r="C63" s="84" t="str">
        <x:v>Conditional stock acquisition consideration</x:v>
      </x:c>
      <x:c r="D63" s="142" t="n">
        <x:f>IF(AND(Sources!$D$86=1,Sources!$D$88&gt;=Model!D$5,Sources!$D$88&lt;=(Model!D$5+D8-1)),Sources!$D$53,0)</x:f>
        <x:v>0</x:v>
      </x:c>
      <x:c r="E63" s="142" t="n">
        <x:f>IF(AND(Sources!$D$86=1,Sources!$D$88&gt;=Model!E$5,Sources!$D$88&lt;=(Model!E$5+E8-1)),Sources!$D$53,0)</x:f>
        <x:v>0</x:v>
      </x:c>
      <x:c r="F63" s="142" t="n">
        <x:f>IF(AND(Sources!$D$86=1,Sources!$D$88&gt;=Model!F$5,Sources!$D$88&lt;=(Model!F$5+F8-1)),Sources!$D$53,0)</x:f>
        <x:v>0</x:v>
      </x:c>
      <x:c r="G63" s="142" t="n">
        <x:f>IF(AND(Sources!$D$86=1,Sources!$D$88&gt;=Model!G$5,Sources!$D$88&lt;=(Model!G$5+G8-1)),Sources!$D$53,0)</x:f>
        <x:v>400</x:v>
      </x:c>
      <x:c r="H63" s="142" t="n">
        <x:f>IF(AND(Sources!$D$86=1,Sources!$D$88&gt;=Model!H$5,Sources!$D$88&lt;=(Model!H$5+H8-1)),Sources!$D$53,0)</x:f>
        <x:v>0</x:v>
      </x:c>
      <x:c r="I63" s="142" t="n">
        <x:f>IF(AND(Sources!$D$86=1,Sources!$D$88&gt;=Model!I$5,Sources!$D$88&lt;=(Model!I$5+I8-1)),Sources!$D$53,0)</x:f>
        <x:v>0</x:v>
      </x:c>
      <x:c r="J63" s="142" t="n">
        <x:f>IF(AND(Sources!$D$86=1,Sources!$D$88&gt;=Model!J$5,Sources!$D$88&lt;=(Model!J$5+J8-1)),Sources!$D$53,0)</x:f>
        <x:v>0</x:v>
      </x:c>
      <x:c r="K63" s="142" t="n">
        <x:f>IF(AND(Sources!$D$86=1,Sources!$D$88&gt;=Model!K$5,Sources!$D$88&lt;=(Model!K$5+K8-1)),Sources!$D$53,0)</x:f>
        <x:v>0</x:v>
      </x:c>
      <x:c r="L63" s="142" t="n">
        <x:f>IF(AND(Sources!$D$86=1,Sources!$D$88&gt;=Model!L$5,Sources!$D$88&lt;=(Model!L$5+L8-1)),Sources!$D$53,0)</x:f>
        <x:v>0</x:v>
      </x:c>
      <x:c r="M63" s="142" t="n">
        <x:f>IF(AND(Sources!$D$86=1,Sources!$D$88&gt;=Model!M$5,Sources!$D$88&lt;=(Model!M$5+M8-1)),Sources!$D$53,0)</x:f>
        <x:v>0</x:v>
      </x:c>
      <x:c r="N63" s="142" t="n">
        <x:f>IF(AND(Sources!$D$86=1,Sources!$D$88&gt;=Model!N$5,Sources!$D$88&lt;=(Model!N$5+N8-1)),Sources!$D$53,0)</x:f>
        <x:v>0</x:v>
      </x:c>
      <x:c r="O63" s="142" t="n">
        <x:f>IF(AND(Sources!$D$86=1,Sources!$D$88&gt;=Model!O$5,Sources!$D$88&lt;=(Model!O$5+O8-1)),Sources!$D$53,0)</x:f>
        <x:v>0</x:v>
      </x:c>
    </x:row>
    <x:row r="64" ht="22" customHeight="1">
      <x:c r="C64" s="84" t="str">
        <x:v>Acquisition holdback released</x:v>
      </x:c>
      <x:c r="D64" s="142" t="n">
        <x:f>SUMIFS(Capital!$E$64:$E$69,Capital!$D$64:$D$69,"&gt;="&amp;Model!D$5,Capital!$D$64:$D$69,"&lt;="&amp;(Model!D$5+D8-1))</x:f>
        <x:v>0</x:v>
      </x:c>
      <x:c r="E64" s="142" t="n">
        <x:f>SUMIFS(Capital!$E$64:$E$69,Capital!$D$64:$D$69,"&gt;="&amp;Model!E$5,Capital!$D$64:$D$69,"&lt;="&amp;(Model!E$5+E8-1))</x:f>
        <x:v>0</x:v>
      </x:c>
      <x:c r="F64" s="142" t="n">
        <x:f>SUMIFS(Capital!$E$64:$E$69,Capital!$D$64:$D$69,"&gt;="&amp;Model!F$5,Capital!$D$64:$D$69,"&lt;="&amp;(Model!F$5+F8-1))</x:f>
        <x:v>0</x:v>
      </x:c>
      <x:c r="G64" s="142" t="n">
        <x:f>SUMIFS(Capital!$E$64:$E$69,Capital!$D$64:$D$69,"&gt;="&amp;Model!G$5,Capital!$D$64:$D$69,"&lt;="&amp;(Model!G$5+G8-1))</x:f>
        <x:v>0</x:v>
      </x:c>
      <x:c r="H64" s="142" t="n">
        <x:f>SUMIFS(Capital!$E$64:$E$69,Capital!$D$64:$D$69,"&gt;="&amp;Model!H$5,Capital!$D$64:$D$69,"&lt;="&amp;(Model!H$5+H8-1))</x:f>
        <x:v>0</x:v>
      </x:c>
      <x:c r="I64" s="142" t="n">
        <x:f>SUMIFS(Capital!$E$64:$E$69,Capital!$D$64:$D$69,"&gt;="&amp;Model!I$5,Capital!$D$64:$D$69,"&lt;="&amp;(Model!I$5+I8-1))</x:f>
        <x:v>6.666666666666667</x:v>
      </x:c>
      <x:c r="J64" s="142" t="n">
        <x:f>SUMIFS(Capital!$E$64:$E$69,Capital!$D$64:$D$69,"&gt;="&amp;Model!J$5,Capital!$D$64:$D$69,"&lt;="&amp;(Model!J$5+J8-1))</x:f>
        <x:v>0</x:v>
      </x:c>
      <x:c r="K64" s="142" t="n">
        <x:f>SUMIFS(Capital!$E$64:$E$69,Capital!$D$64:$D$69,"&gt;="&amp;Model!K$5,Capital!$D$64:$D$69,"&lt;="&amp;(Model!K$5+K8-1))</x:f>
        <x:v>9.666666666666666</x:v>
      </x:c>
      <x:c r="L64" s="142" t="n">
        <x:f>SUMIFS(Capital!$E$64:$E$69,Capital!$D$64:$D$69,"&gt;="&amp;Model!L$5,Capital!$D$64:$D$69,"&lt;="&amp;(Model!L$5+L8-1))</x:f>
        <x:v>6.666666666666667</x:v>
      </x:c>
      <x:c r="M64" s="142" t="n">
        <x:f>SUMIFS(Capital!$E$64:$E$69,Capital!$D$64:$D$69,"&gt;="&amp;Model!M$5,Capital!$D$64:$D$69,"&lt;="&amp;(Model!M$5+M8-1))</x:f>
        <x:v>3</x:v>
      </x:c>
      <x:c r="N64" s="142" t="n">
        <x:f>SUMIFS(Capital!$E$64:$E$69,Capital!$D$64:$D$69,"&gt;="&amp;Model!N$5,Capital!$D$64:$D$69,"&lt;="&amp;(Model!N$5+N8-1))</x:f>
        <x:v>3</x:v>
      </x:c>
      <x:c r="O64" s="142" t="n">
        <x:f>SUMIFS(Capital!$E$64:$E$69,Capital!$D$64:$D$69,"&gt;="&amp;Model!O$5,Capital!$D$64:$D$69,"&lt;="&amp;(Model!O$5+O8-1))</x:f>
        <x:v>3</x:v>
      </x:c>
    </x:row>
    <x:row r="65" ht="22" customHeight="1">
      <x:c r="C65" s="84" t="str">
        <x:v>Conditional acquisition holdback, remaining</x:v>
      </x:c>
      <x:c r="D65" s="95" t="n">
        <x:f>0+D63*8%-D64</x:f>
        <x:v>0</x:v>
      </x:c>
      <x:c r="E65" s="95" t="n">
        <x:f>D65+E63*8%-E64</x:f>
        <x:v>0</x:v>
      </x:c>
      <x:c r="F65" s="95" t="n">
        <x:f>E65+F63*8%-F64</x:f>
        <x:v>0</x:v>
      </x:c>
      <x:c r="G65" s="95" t="n">
        <x:f>F65+G63*8%-G64</x:f>
        <x:v>32</x:v>
      </x:c>
      <x:c r="H65" s="95" t="n">
        <x:f>G65+H63*8%-H64</x:f>
        <x:v>32</x:v>
      </x:c>
      <x:c r="I65" s="95" t="n">
        <x:f>H65+I63*8%-I64</x:f>
        <x:v>25.333333333333332</x:v>
      </x:c>
      <x:c r="J65" s="95" t="n">
        <x:f>I65+J63*8%-J64</x:f>
        <x:v>25.333333333333332</x:v>
      </x:c>
      <x:c r="K65" s="95" t="n">
        <x:f>J65+K63*8%-K64</x:f>
        <x:v>15.666666666666666</x:v>
      </x:c>
      <x:c r="L65" s="95" t="n">
        <x:f>K65+L63*8%-L64</x:f>
        <x:v>9</x:v>
      </x:c>
      <x:c r="M65" s="95" t="n">
        <x:f>L65+M63*8%-M64</x:f>
        <x:v>6</x:v>
      </x:c>
      <x:c r="N65" s="95" t="n">
        <x:f>M65+N63*8%-N64</x:f>
        <x:v>3</x:v>
      </x:c>
      <x:c r="O65" s="95" t="n">
        <x:f>N65+O63*8%-O64</x:f>
        <x:v>0</x:v>
      </x:c>
    </x:row>
    <x:row r="66" ht="22" customHeight="1">
      <x:c r="C66" s="84" t="str">
        <x:v>Acquisition shares issued</x:v>
      </x:c>
      <x:c r="D66" s="95" t="n">
        <x:f>(D63*92%+D64)/Sources!$D$71</x:f>
        <x:v>0</x:v>
      </x:c>
      <x:c r="E66" s="95" t="n">
        <x:f>(E63*92%+E64)/Sources!$D$71</x:f>
        <x:v>0</x:v>
      </x:c>
      <x:c r="F66" s="95" t="n">
        <x:f>(F63*92%+F64)/Sources!$D$71</x:f>
        <x:v>0</x:v>
      </x:c>
      <x:c r="G66" s="95" t="n">
        <x:f>(G63*92%+G64)/Sources!$D$71</x:f>
        <x:v>4.3669158656698706</x:v>
      </x:c>
      <x:c r="H66" s="95" t="n">
        <x:f>(H63*92%+H64)/Sources!$D$71</x:f>
        <x:v>0</x:v>
      </x:c>
      <x:c r="I66" s="95" t="n">
        <x:f>(I63*92%+I64)/Sources!$D$71</x:f>
        <x:v>0.07911079466793244</x:v>
      </x:c>
      <x:c r="J66" s="95" t="n">
        <x:f>(J63*92%+J64)/Sources!$D$71</x:f>
        <x:v>0</x:v>
      </x:c>
      <x:c r="K66" s="95" t="n">
        <x:f>(K63*92%+K64)/Sources!$D$71</x:f>
        <x:v>0.11471065226850204</x:v>
      </x:c>
      <x:c r="L66" s="95" t="n">
        <x:f>(L63*92%+L64)/Sources!$D$71</x:f>
        <x:v>0.07911079466793244</x:v>
      </x:c>
      <x:c r="M66" s="95" t="n">
        <x:f>(M63*92%+M64)/Sources!$D$71</x:f>
        <x:v>0.0355998576005696</x:v>
      </x:c>
      <x:c r="N66" s="95" t="n">
        <x:f>(N63*92%+N64)/Sources!$D$71</x:f>
        <x:v>0.0355998576005696</x:v>
      </x:c>
      <x:c r="O66" s="95" t="n">
        <x:f>(O63*92%+O64)/Sources!$D$71</x:f>
        <x:v>0.0355998576005696</x:v>
      </x:c>
    </x:row>
    <x:row r="67" ht="22" customHeight="1">
      <x:c r="C67" s="84" t="str">
        <x:v>Unallocated acquired net asset pool</x:v>
      </x:c>
      <x:c r="D67" s="95" t="n">
        <x:f>0+D63</x:f>
        <x:v>0</x:v>
      </x:c>
      <x:c r="E67" s="95" t="n">
        <x:f>D67+E63</x:f>
        <x:v>0</x:v>
      </x:c>
      <x:c r="F67" s="95" t="n">
        <x:f>E67+F63</x:f>
        <x:v>0</x:v>
      </x:c>
      <x:c r="G67" s="95" t="n">
        <x:f>F67+G63</x:f>
        <x:v>400</x:v>
      </x:c>
      <x:c r="H67" s="95" t="n">
        <x:f>G67+H63</x:f>
        <x:v>400</x:v>
      </x:c>
      <x:c r="I67" s="95" t="n">
        <x:f>H67+I63</x:f>
        <x:v>400</x:v>
      </x:c>
      <x:c r="J67" s="95" t="n">
        <x:f>I67+J63</x:f>
        <x:v>400</x:v>
      </x:c>
      <x:c r="K67" s="95" t="n">
        <x:f>J67+K63</x:f>
        <x:v>400</x:v>
      </x:c>
      <x:c r="L67" s="95" t="n">
        <x:f>K67+L63</x:f>
        <x:v>400</x:v>
      </x:c>
      <x:c r="M67" s="95" t="n">
        <x:f>L67+M63</x:f>
        <x:v>400</x:v>
      </x:c>
      <x:c r="N67" s="95" t="n">
        <x:f>M67+N63</x:f>
        <x:v>400</x:v>
      </x:c>
      <x:c r="O67" s="95" t="n">
        <x:f>N67+O63</x:f>
        <x:v>400</x:v>
      </x:c>
    </x:row>
    <x:row r="68" ht="22" customHeight="1">
      <x:c r="C68" s="84" t="str">
        <x:v>Acquisition employee incentive expense</x:v>
      </x:c>
      <x:c r="D68" s="142" t="n">
        <x:f>Sources!$D$86*Sources!$D$54*MAX(0,MIN((Model!D$5+D8-1),EDATE(Sources!$D$88,48))-MAX(Model!D$5,Sources!$D$88+1)+1)/(EDATE(Sources!$D$88,48)-Sources!$D$88)</x:f>
        <x:v>0</x:v>
      </x:c>
      <x:c r="E68" s="142" t="n">
        <x:f>Sources!$D$86*Sources!$D$54*MAX(0,MIN((Model!E$5+E8-1),EDATE(Sources!$D$88,48))-MAX(Model!E$5,Sources!$D$88+1)+1)/(EDATE(Sources!$D$88,48)-Sources!$D$88)</x:f>
        <x:v>0</x:v>
      </x:c>
      <x:c r="F68" s="142" t="n">
        <x:f>Sources!$D$86*Sources!$D$54*MAX(0,MIN((Model!F$5+F8-1),EDATE(Sources!$D$88,48))-MAX(Model!F$5,Sources!$D$88+1)+1)/(EDATE(Sources!$D$88,48)-Sources!$D$88)</x:f>
        <x:v>0</x:v>
      </x:c>
      <x:c r="G68" s="142" t="n">
        <x:f>Sources!$D$86*Sources!$D$54*MAX(0,MIN((Model!G$5+G8-1),EDATE(Sources!$D$88,48))-MAX(Model!G$5,Sources!$D$88+1)+1)/(EDATE(Sources!$D$88,48)-Sources!$D$88)</x:f>
        <x:v>0</x:v>
      </x:c>
      <x:c r="H68" s="142" t="n">
        <x:f>Sources!$D$86*Sources!$D$54*MAX(0,MIN((Model!H$5+H8-1),EDATE(Sources!$D$88,48))-MAX(Model!H$5,Sources!$D$88+1)+1)/(EDATE(Sources!$D$88,48)-Sources!$D$88)</x:f>
        <x:v>1.574264212962963</x:v>
      </x:c>
      <x:c r="I68" s="142" t="n">
        <x:f>Sources!$D$86*Sources!$D$54*MAX(0,MIN((Model!I$5+I8-1),EDATE(Sources!$D$88,48))-MAX(Model!I$5,Sources!$D$88+1)+1)/(EDATE(Sources!$D$88,48)-Sources!$D$88)</x:f>
        <x:v>1.574264212962963</x:v>
      </x:c>
      <x:c r="J68" s="142" t="n">
        <x:f>Sources!$D$86*Sources!$D$54*MAX(0,MIN((Model!J$5+J8-1),EDATE(Sources!$D$88,48))-MAX(Model!J$5,Sources!$D$88+1)+1)/(EDATE(Sources!$D$88,48)-Sources!$D$88)</x:f>
        <x:v>1.557152638888889</x:v>
      </x:c>
      <x:c r="K68" s="142" t="n">
        <x:f>Sources!$D$86*Sources!$D$54*MAX(0,MIN((Model!K$5+K8-1),EDATE(Sources!$D$88,48))-MAX(Model!K$5,Sources!$D$88+1)+1)/(EDATE(Sources!$D$88,48)-Sources!$D$88)</x:f>
        <x:v>1.557152638888889</x:v>
      </x:c>
      <x:c r="L68" s="142" t="n">
        <x:f>Sources!$D$86*Sources!$D$54*MAX(0,MIN((Model!L$5+L8-1),EDATE(Sources!$D$88,48))-MAX(Model!L$5,Sources!$D$88+1)+1)/(EDATE(Sources!$D$88,48)-Sources!$D$88)</x:f>
        <x:v>3.1485284143518517</x:v>
      </x:c>
      <x:c r="M68" s="142" t="n">
        <x:f>Sources!$D$86*Sources!$D$54*MAX(0,MIN((Model!M$5+M8-1),EDATE(Sources!$D$88,48))-MAX(Model!M$5,Sources!$D$88+1)+1)/(EDATE(Sources!$D$88,48)-Sources!$D$88)</x:f>
        <x:v>6.245722118055555</x:v>
      </x:c>
      <x:c r="N68" s="142" t="n">
        <x:f>Sources!$D$86*Sources!$D$54*MAX(0,MIN((Model!N$5+N8-1),EDATE(Sources!$D$88,48))-MAX(Model!N$5,Sources!$D$88+1)+1)/(EDATE(Sources!$D$88,48)-Sources!$D$88)</x:f>
        <x:v>6.245722118055555</x:v>
      </x:c>
      <x:c r="O68" s="142" t="n">
        <x:f>Sources!$D$86*Sources!$D$54*MAX(0,MIN((Model!O$5+O8-1),EDATE(Sources!$D$88,48))-MAX(Model!O$5,Sources!$D$88+1)+1)/(EDATE(Sources!$D$88,48)-Sources!$D$88)</x:f>
        <x:v>3.0971937037037036</x:v>
      </x:c>
    </x:row>
    <x:row r="69" ht="22" customHeight="1">
      <x:c r="C69" s="84" t="str">
        <x:v>Employee incentive awards vested</x:v>
      </x:c>
      <x:c r="D69" s="142" t="n">
        <x:f>SUMIFS(Capital!$F$70:$F$77,Capital!$D$70:$D$77,"&gt;="&amp;Model!D$5,Capital!$D$70:$D$77,"&lt;="&amp;(Model!D$5+D8-1))</x:f>
        <x:v>0</x:v>
      </x:c>
      <x:c r="E69" s="142" t="n">
        <x:f>SUMIFS(Capital!$F$70:$F$77,Capital!$D$70:$D$77,"&gt;="&amp;Model!E$5,Capital!$D$70:$D$77,"&lt;="&amp;(Model!E$5+E8-1))</x:f>
        <x:v>0</x:v>
      </x:c>
      <x:c r="F69" s="142" t="n">
        <x:f>SUMIFS(Capital!$F$70:$F$77,Capital!$D$70:$D$77,"&gt;="&amp;Model!F$5,Capital!$D$70:$D$77,"&lt;="&amp;(Model!F$5+F8-1))</x:f>
        <x:v>0</x:v>
      </x:c>
      <x:c r="G69" s="142" t="n">
        <x:f>SUMIFS(Capital!$F$70:$F$77,Capital!$D$70:$D$77,"&gt;="&amp;Model!G$5,Capital!$D$70:$D$77,"&lt;="&amp;(Model!G$5+G8-1))</x:f>
        <x:v>0</x:v>
      </x:c>
      <x:c r="H69" s="142" t="n">
        <x:f>SUMIFS(Capital!$F$70:$F$77,Capital!$D$70:$D$77,"&gt;="&amp;Model!H$5,Capital!$D$70:$D$77,"&lt;="&amp;(Model!H$5+H8-1))</x:f>
        <x:v>0</x:v>
      </x:c>
      <x:c r="I69" s="142" t="n">
        <x:f>SUMIFS(Capital!$F$70:$F$77,Capital!$D$70:$D$77,"&gt;="&amp;Model!I$5,Capital!$D$70:$D$77,"&lt;="&amp;(Model!I$5+I8-1))</x:f>
        <x:v>0</x:v>
      </x:c>
      <x:c r="J69" s="142" t="n">
        <x:f>SUMIFS(Capital!$F$70:$F$77,Capital!$D$70:$D$77,"&gt;="&amp;Model!J$5,Capital!$D$70:$D$77,"&lt;="&amp;(Model!J$5+J8-1))</x:f>
        <x:v>0</x:v>
      </x:c>
      <x:c r="K69" s="142" t="n">
        <x:f>SUMIFS(Capital!$F$70:$F$77,Capital!$D$70:$D$77,"&gt;="&amp;Model!K$5,Capital!$D$70:$D$77,"&lt;="&amp;(Model!K$5+K8-1))</x:f>
        <x:v>0</x:v>
      </x:c>
      <x:c r="L69" s="142" t="n">
        <x:f>SUMIFS(Capital!$F$70:$F$77,Capital!$D$70:$D$77,"&gt;="&amp;Model!L$5,Capital!$D$70:$D$77,"&lt;="&amp;(Model!L$5+L8-1))</x:f>
        <x:v>0</x:v>
      </x:c>
      <x:c r="M69" s="142" t="n">
        <x:f>SUMIFS(Capital!$F$70:$F$77,Capital!$D$70:$D$77,"&gt;="&amp;Model!M$5,Capital!$D$70:$D$77,"&lt;="&amp;(Model!M$5+M8-1))</x:f>
        <x:v>6.25</x:v>
      </x:c>
      <x:c r="N69" s="142" t="n">
        <x:f>SUMIFS(Capital!$F$70:$F$77,Capital!$D$70:$D$77,"&gt;="&amp;Model!N$5,Capital!$D$70:$D$77,"&lt;="&amp;(Model!N$5+N8-1))</x:f>
        <x:v>12.5</x:v>
      </x:c>
      <x:c r="O69" s="142" t="n">
        <x:f>SUMIFS(Capital!$F$70:$F$77,Capital!$D$70:$D$77,"&gt;="&amp;Model!O$5,Capital!$D$70:$D$77,"&lt;="&amp;(Model!O$5+O8-1))</x:f>
        <x:v>6.25</x:v>
      </x:c>
    </x:row>
    <x:row r="70" ht="22" customHeight="1">
      <x:c r="C70" s="84" t="str">
        <x:v>Employee incentive shares vested</x:v>
      </x:c>
      <x:c r="D70" s="95" t="n">
        <x:f>D69/Sources!$D$71</x:f>
        <x:v>0</x:v>
      </x:c>
      <x:c r="E70" s="95" t="n">
        <x:f>E69/Sources!$D$71</x:f>
        <x:v>0</x:v>
      </x:c>
      <x:c r="F70" s="95" t="n">
        <x:f>F69/Sources!$D$71</x:f>
        <x:v>0</x:v>
      </x:c>
      <x:c r="G70" s="95" t="n">
        <x:f>G69/Sources!$D$71</x:f>
        <x:v>0</x:v>
      </x:c>
      <x:c r="H70" s="95" t="n">
        <x:f>H69/Sources!$D$71</x:f>
        <x:v>0</x:v>
      </x:c>
      <x:c r="I70" s="95" t="n">
        <x:f>I69/Sources!$D$71</x:f>
        <x:v>0</x:v>
      </x:c>
      <x:c r="J70" s="95" t="n">
        <x:f>J69/Sources!$D$71</x:f>
        <x:v>0</x:v>
      </x:c>
      <x:c r="K70" s="95" t="n">
        <x:f>K69/Sources!$D$71</x:f>
        <x:v>0</x:v>
      </x:c>
      <x:c r="L70" s="95" t="n">
        <x:f>L69/Sources!$D$71</x:f>
        <x:v>0</x:v>
      </x:c>
      <x:c r="M70" s="95" t="n">
        <x:f>M69/Sources!$D$71</x:f>
        <x:v>0.07416637000118667</x:v>
      </x:c>
      <x:c r="N70" s="95" t="n">
        <x:f>N69/Sources!$D$71</x:f>
        <x:v>0.14833274000237334</x:v>
      </x:c>
      <x:c r="O70" s="95" t="n">
        <x:f>O69/Sources!$D$71</x:f>
        <x:v>0.07416637000118667</x:v>
      </x:c>
    </x:row>
    <x:row r="71" ht="22" customHeight="1">
      <x:c r="C71" s="84" t="str">
        <x:v>CFO transition expense assumption</x:v>
      </x:c>
      <x:c r="D71" s="95" t="n">
        <x:f>0</x:f>
        <x:v>0</x:v>
      </x:c>
      <x:c r="E71" s="95" t="n">
        <x:f>1.05</x:f>
        <x:v>1.05</x:v>
      </x:c>
      <x:c r="F71" s="95" t="n">
        <x:f>0</x:f>
        <x:v>0</x:v>
      </x:c>
      <x:c r="G71" s="95" t="n">
        <x:f>0</x:f>
        <x:v>0</x:v>
      </x:c>
      <x:c r="H71" s="95" t="n">
        <x:f>0</x:f>
        <x:v>0</x:v>
      </x:c>
      <x:c r="I71" s="95" t="n">
        <x:f>0</x:f>
        <x:v>0</x:v>
      </x:c>
      <x:c r="J71" s="95" t="n">
        <x:f>0</x:f>
        <x:v>0</x:v>
      </x:c>
      <x:c r="K71" s="95" t="n">
        <x:f>0</x:f>
        <x:v>0</x:v>
      </x:c>
      <x:c r="L71" s="95" t="n">
        <x:f>0</x:f>
        <x:v>0</x:v>
      </x:c>
      <x:c r="M71" s="95" t="n">
        <x:f>0</x:f>
        <x:v>0</x:v>
      </x:c>
      <x:c r="N71" s="95" t="n">
        <x:f>0</x:f>
        <x:v>0</x:v>
      </x:c>
      <x:c r="O71" s="95" t="n">
        <x:f>0</x:f>
        <x:v>0</x:v>
      </x:c>
    </x:row>
    <x:row r="72" ht="22" customHeight="1">
      <x:c r="C72" s="144" t="str">
        <x:v>Operating income</x:v>
      </x:c>
      <x:c r="D72" s="127" t="n">
        <x:f>D35-D41-D42-D68-D60-D71</x:f>
        <x:v>28.190143246035568</x:v>
      </x:c>
      <x:c r="E72" s="127" t="n">
        <x:f>E35-E41-E42-E68-E60-E71</x:f>
        <x:v>32.22782265443277</x:v>
      </x:c>
      <x:c r="F72" s="127" t="n">
        <x:f>F35-F41-F42-F68-F60-F71</x:f>
        <x:v>19.066002043290123</x:v>
      </x:c>
      <x:c r="G72" s="127" t="n">
        <x:f>G35-G41-G42-G68-G60-G71</x:f>
        <x:v>28.490835702236126</x:v>
      </x:c>
      <x:c r="H72" s="127" t="n">
        <x:f>H35-H41-H42-H68-H60-H71</x:f>
        <x:v>37.481272002518125</x:v>
      </x:c>
      <x:c r="I72" s="127" t="n">
        <x:f>I35-I41-I42-I68-I60-I71</x:f>
        <x:v>48.69250573090483</x:v>
      </x:c>
      <x:c r="J72" s="127" t="n">
        <x:f>J35-J41-J42-J68-J60-J71</x:f>
        <x:v>66.91980879042723</x:v>
      </x:c>
      <x:c r="K72" s="127" t="n">
        <x:f>K35-K41-K42-K68-K60-K71</x:f>
        <x:v>75.84168029242254</x:v>
      </x:c>
      <x:c r="L72" s="127" t="n">
        <x:f>L35-L41-L42-L68-L60-L71</x:f>
        <x:v>183.80483639252765</x:v>
      </x:c>
      <x:c r="M72" s="127" t="n">
        <x:f>M35-M41-M42-M68-M60-M71</x:f>
        <x:v>523.1136010546038</x:v>
      </x:c>
      <x:c r="N72" s="127" t="n">
        <x:f>N35-N41-N42-N68-N60-N71</x:f>
        <x:v>729.6181341863455</x:v>
      </x:c>
      <x:c r="O72" s="127" t="n">
        <x:f>O35-O41-O42-O68-O60-O71</x:f>
        <x:v>945.9031011758743</x:v>
      </x:c>
    </x:row>
    <x:row r="73" ht="22" customHeight="1">
      <x:c r="C73" s="84" t="str">
        <x:v>Interest on corporate bank cash</x:v>
      </x:c>
      <x:c r="D73" s="142" t="n">
        <x:f>Sources!$D$8*D13*D9</x:f>
        <x:v>15.263029369863016</x:v>
      </x:c>
      <x:c r="E73" s="95" t="n">
        <x:f>D99*E13*E9</x:f>
        <x:v>16.657490495419072</x:v>
      </x:c>
      <x:c r="F73" s="95" t="n">
        <x:f>E99*F13*F9</x:f>
        <x:v>14.886954265528535</x:v>
      </x:c>
      <x:c r="G73" s="95" t="n">
        <x:f>F99*G13*G9</x:f>
        <x:v>15.489626130853202</x:v>
      </x:c>
      <x:c r="H73" s="95" t="n">
        <x:f>G99*H13*H9</x:f>
        <x:v>16.063958769902612</x:v>
      </x:c>
      <x:c r="I73" s="95" t="n">
        <x:f>H99*I13*I9</x:f>
        <x:v>16.544006899431636</x:v>
      </x:c>
      <x:c r="J73" s="95" t="n">
        <x:f>I99*J13*J9</x:f>
        <x:v>16.36648665998073</x:v>
      </x:c>
      <x:c r="K73" s="95" t="n">
        <x:f>J99*K13*K9</x:f>
        <x:v>16.95710948274627</x:v>
      </x:c>
      <x:c r="L73" s="95" t="n">
        <x:f>K99*L13*L9</x:f>
        <x:v>32.17308483452513</x:v>
      </x:c>
      <x:c r="M73" s="95" t="n">
        <x:f>L99*M13*M9</x:f>
        <x:v>69.63638489685839</x:v>
      </x:c>
      <x:c r="N73" s="95" t="n">
        <x:f>M99*N13*N9</x:f>
        <x:v>86.2534837859884</x:v>
      </x:c>
      <x:c r="O73" s="95" t="n">
        <x:f>N99*O13*O9</x:f>
        <x:v>110.04291898152896</x:v>
      </x:c>
    </x:row>
    <x:row r="74" ht="22" customHeight="1">
      <x:c r="C74" s="84" t="str">
        <x:v>Pretax income</x:v>
      </x:c>
      <x:c r="D74" s="95" t="n">
        <x:f>D72+D73</x:f>
        <x:v>43.45317261589858</x:v>
      </x:c>
      <x:c r="E74" s="95" t="n">
        <x:f>E72+E73</x:f>
        <x:v>48.88531314985184</x:v>
      </x:c>
      <x:c r="F74" s="95" t="n">
        <x:f>F72+F73</x:f>
        <x:v>33.952956308818656</x:v>
      </x:c>
      <x:c r="G74" s="95" t="n">
        <x:f>G72+G73</x:f>
        <x:v>43.98046183308933</x:v>
      </x:c>
      <x:c r="H74" s="95" t="n">
        <x:f>H72+H73</x:f>
        <x:v>53.54523077242074</x:v>
      </x:c>
      <x:c r="I74" s="95" t="n">
        <x:f>I72+I73</x:f>
        <x:v>65.23651263033646</x:v>
      </x:c>
      <x:c r="J74" s="95" t="n">
        <x:f>J72+J73</x:f>
        <x:v>83.28629545040795</x:v>
      </x:c>
      <x:c r="K74" s="95" t="n">
        <x:f>K72+K73</x:f>
        <x:v>92.79878977516881</x:v>
      </x:c>
      <x:c r="L74" s="95" t="n">
        <x:f>L72+L73</x:f>
        <x:v>215.97792122705278</x:v>
      </x:c>
      <x:c r="M74" s="95" t="n">
        <x:f>M72+M73</x:f>
        <x:v>592.7499859514622</x:v>
      </x:c>
      <x:c r="N74" s="95" t="n">
        <x:f>N72+N73</x:f>
        <x:v>815.8716179723339</x:v>
      </x:c>
      <x:c r="O74" s="95" t="n">
        <x:f>O72+O73</x:f>
        <x:v>1055.9460201574034</x:v>
      </x:c>
    </x:row>
    <x:row r="75" ht="22" customHeight="1">
      <x:c r="C75" s="84" t="str">
        <x:v>Income tax expense</x:v>
      </x:c>
      <x:c r="D75" s="142" t="n">
        <x:f>MAX(0,D74)*Sources!$D$81</x:f>
        <x:v>10.863293153974645</x:v>
      </x:c>
      <x:c r="E75" s="142" t="n">
        <x:f>MAX(0,E74)*Sources!$D$81</x:f>
        <x:v>12.22132828746296</x:v>
      </x:c>
      <x:c r="F75" s="142" t="n">
        <x:f>MAX(0,F74)*Sources!$D$81</x:f>
        <x:v>8.488239077204664</x:v>
      </x:c>
      <x:c r="G75" s="142" t="n">
        <x:f>MAX(0,G74)*Sources!$D$81</x:f>
        <x:v>10.995115458272332</x:v>
      </x:c>
      <x:c r="H75" s="142" t="n">
        <x:f>MAX(0,H74)*Sources!$D$81</x:f>
        <x:v>13.386307693105184</x:v>
      </x:c>
      <x:c r="I75" s="142" t="n">
        <x:f>MAX(0,I74)*Sources!$D$81</x:f>
        <x:v>16.309128157584116</x:v>
      </x:c>
      <x:c r="J75" s="142" t="n">
        <x:f>MAX(0,J74)*Sources!$D$81</x:f>
        <x:v>20.821573862601987</x:v>
      </x:c>
      <x:c r="K75" s="142" t="n">
        <x:f>MAX(0,K74)*Sources!$D$81</x:f>
        <x:v>23.199697443792203</x:v>
      </x:c>
      <x:c r="L75" s="142" t="n">
        <x:f>MAX(0,L74)*Sources!$D$81</x:f>
        <x:v>53.994480306763194</x:v>
      </x:c>
      <x:c r="M75" s="142" t="n">
        <x:f>MAX(0,M74)*Sources!$D$81</x:f>
        <x:v>148.18749648786556</x:v>
      </x:c>
      <x:c r="N75" s="142" t="n">
        <x:f>MAX(0,N74)*Sources!$D$81</x:f>
        <x:v>203.96790449308347</x:v>
      </x:c>
      <x:c r="O75" s="142" t="n">
        <x:f>MAX(0,O74)*Sources!$D$81</x:f>
        <x:v>263.98650503935085</x:v>
      </x:c>
    </x:row>
    <x:row r="76" ht="22" customHeight="1">
      <x:c r="C76" s="144" t="str">
        <x:v>Net income</x:v>
      </x:c>
      <x:c r="D76" s="127" t="n">
        <x:f>D74-D75</x:f>
        <x:v>32.589879461923935</x:v>
      </x:c>
      <x:c r="E76" s="127" t="n">
        <x:f>E74-E75</x:f>
        <x:v>36.66398486238888</x:v>
      </x:c>
      <x:c r="F76" s="127" t="n">
        <x:f>F74-F75</x:f>
        <x:v>25.464717231613992</x:v>
      </x:c>
      <x:c r="G76" s="127" t="n">
        <x:f>G74-G75</x:f>
        <x:v>32.985346374817</x:v>
      </x:c>
      <x:c r="H76" s="127" t="n">
        <x:f>H74-H75</x:f>
        <x:v>40.15892307931556</x:v>
      </x:c>
      <x:c r="I76" s="127" t="n">
        <x:f>I74-I75</x:f>
        <x:v>48.92738447275235</x:v>
      </x:c>
      <x:c r="J76" s="127" t="n">
        <x:f>J74-J75</x:f>
        <x:v>62.46472158780596</x:v>
      </x:c>
      <x:c r="K76" s="127" t="n">
        <x:f>K74-K75</x:f>
        <x:v>69.59909233137661</x:v>
      </x:c>
      <x:c r="L76" s="127" t="n">
        <x:f>L74-L75</x:f>
        <x:v>161.98344092028958</x:v>
      </x:c>
      <x:c r="M76" s="127" t="n">
        <x:f>M74-M75</x:f>
        <x:v>444.56248946359665</x:v>
      </x:c>
      <x:c r="N76" s="127" t="n">
        <x:f>N74-N75</x:f>
        <x:v>611.9037134792504</x:v>
      </x:c>
      <x:c r="O76" s="127" t="n">
        <x:f>O74-O75</x:f>
        <x:v>791.9595151180525</x:v>
      </x:c>
    </x:row>
    <x:row r="77" ht="22" customHeight="1">
      <x:c r="C77" s="84" t="str">
        <x:v>Conditional ARC cash repayment</x:v>
      </x:c>
      <x:c r="D77" s="142" t="n">
        <x:f>IF(AND(Sources!$D$87=1,Sources!$D$89&gt;=Model!D$5,Sources!$D$89&lt;=(Model!D$5+D8-1)),Sources!$D$39,0)</x:f>
        <x:v>0</x:v>
      </x:c>
      <x:c r="E77" s="142" t="n">
        <x:f>IF(AND(Sources!$D$87=1,Sources!$D$89&gt;=Model!E$5,Sources!$D$89&lt;=(Model!E$5+E8-1)),Sources!$D$39,0)</x:f>
        <x:v>0</x:v>
      </x:c>
      <x:c r="F77" s="142" t="n">
        <x:f>IF(AND(Sources!$D$87=1,Sources!$D$89&gt;=Model!F$5,Sources!$D$89&lt;=(Model!F$5+F8-1)),Sources!$D$39,0)</x:f>
        <x:v>0</x:v>
      </x:c>
      <x:c r="G77" s="142" t="n">
        <x:f>IF(AND(Sources!$D$87=1,Sources!$D$89&gt;=Model!G$5,Sources!$D$89&lt;=(Model!G$5+G8-1)),Sources!$D$39,0)</x:f>
        <x:v>0</x:v>
      </x:c>
      <x:c r="H77" s="142" t="n">
        <x:f>IF(AND(Sources!$D$87=1,Sources!$D$89&gt;=Model!H$5,Sources!$D$89&lt;=(Model!H$5+H8-1)),Sources!$D$39,0)</x:f>
        <x:v>0</x:v>
      </x:c>
      <x:c r="I77" s="142" t="n">
        <x:f>IF(AND(Sources!$D$87=1,Sources!$D$89&gt;=Model!I$5,Sources!$D$89&lt;=(Model!I$5+I8-1)),Sources!$D$39,0)</x:f>
        <x:v>0</x:v>
      </x:c>
      <x:c r="J77" s="142" t="n">
        <x:f>IF(AND(Sources!$D$87=1,Sources!$D$89&gt;=Model!J$5,Sources!$D$89&lt;=(Model!J$5+J8-1)),Sources!$D$39,0)</x:f>
        <x:v>0</x:v>
      </x:c>
      <x:c r="K77" s="142" t="n">
        <x:f>IF(AND(Sources!$D$87=1,Sources!$D$89&gt;=Model!K$5,Sources!$D$89&lt;=(Model!K$5+K8-1)),Sources!$D$39,0)</x:f>
        <x:v>222</x:v>
      </x:c>
      <x:c r="L77" s="142" t="n">
        <x:f>IF(AND(Sources!$D$87=1,Sources!$D$89&gt;=Model!L$5,Sources!$D$89&lt;=(Model!L$5+L8-1)),Sources!$D$39,0)</x:f>
        <x:v>0</x:v>
      </x:c>
      <x:c r="M77" s="142" t="n">
        <x:f>IF(AND(Sources!$D$87=1,Sources!$D$89&gt;=Model!M$5,Sources!$D$89&lt;=(Model!M$5+M8-1)),Sources!$D$39,0)</x:f>
        <x:v>0</x:v>
      </x:c>
      <x:c r="N77" s="142" t="n">
        <x:f>IF(AND(Sources!$D$87=1,Sources!$D$89&gt;=Model!N$5,Sources!$D$89&lt;=(Model!N$5+N8-1)),Sources!$D$39,0)</x:f>
        <x:v>0</x:v>
      </x:c>
      <x:c r="O77" s="142" t="n">
        <x:f>IF(AND(Sources!$D$87=1,Sources!$D$89&gt;=Model!O$5,Sources!$D$89&lt;=(Model!O$5+O8-1)),Sources!$D$39,0)</x:f>
        <x:v>0</x:v>
      </x:c>
    </x:row>
    <x:row r="78" ht="22" customHeight="1">
      <x:c r="C78" s="84" t="str">
        <x:v>ARC receivable</x:v>
      </x:c>
      <x:c r="D78" s="95" t="n">
        <x:f>IF(D77&gt;0,0,Sources!$D$40)</x:f>
        <x:v>20.2</x:v>
      </x:c>
      <x:c r="E78" s="95" t="n">
        <x:f>IF(E77&gt;0,0,D78)</x:f>
        <x:v>20.2</x:v>
      </x:c>
      <x:c r="F78" s="95" t="n">
        <x:f>IF(F77&gt;0,0,E78)</x:f>
        <x:v>20.2</x:v>
      </x:c>
      <x:c r="G78" s="95" t="n">
        <x:f>IF(G77&gt;0,0,F78)</x:f>
        <x:v>20.2</x:v>
      </x:c>
      <x:c r="H78" s="95" t="n">
        <x:f>IF(H77&gt;0,0,G78)</x:f>
        <x:v>20.2</x:v>
      </x:c>
      <x:c r="I78" s="95" t="n">
        <x:f>IF(I77&gt;0,0,H78)</x:f>
        <x:v>20.2</x:v>
      </x:c>
      <x:c r="J78" s="95" t="n">
        <x:f>IF(J77&gt;0,0,I78)</x:f>
        <x:v>20.2</x:v>
      </x:c>
      <x:c r="K78" s="95" t="n">
        <x:f>IF(K77&gt;0,0,J78)</x:f>
        <x:v>0</x:v>
      </x:c>
      <x:c r="L78" s="95" t="n">
        <x:f>IF(L77&gt;0,0,K78)</x:f>
        <x:v>0</x:v>
      </x:c>
      <x:c r="M78" s="95" t="n">
        <x:f>IF(M77&gt;0,0,L78)</x:f>
        <x:v>0</x:v>
      </x:c>
      <x:c r="N78" s="95" t="n">
        <x:f>IF(N77&gt;0,0,M78)</x:f>
        <x:v>0</x:v>
      </x:c>
      <x:c r="O78" s="95" t="n">
        <x:f>IF(O77&gt;0,0,N78)</x:f>
        <x:v>0</x:v>
      </x:c>
    </x:row>
    <x:row r="79" ht="22" customHeight="1">
      <x:c r="C79" s="84" t="str">
        <x:v>ARC deferred revenue</x:v>
      </x:c>
      <x:c r="D79" s="95" t="n">
        <x:f>IF(D77&gt;0,0,Sources!$D$41)</x:f>
        <x:v>242.2</x:v>
      </x:c>
      <x:c r="E79" s="95" t="n">
        <x:f>IF(E77&gt;0,0,D79)</x:f>
        <x:v>242.2</x:v>
      </x:c>
      <x:c r="F79" s="95" t="n">
        <x:f>IF(F77&gt;0,0,E79)</x:f>
        <x:v>242.2</x:v>
      </x:c>
      <x:c r="G79" s="95" t="n">
        <x:f>IF(G77&gt;0,0,F79)</x:f>
        <x:v>242.2</x:v>
      </x:c>
      <x:c r="H79" s="95" t="n">
        <x:f>IF(H77&gt;0,0,G79)</x:f>
        <x:v>242.2</x:v>
      </x:c>
      <x:c r="I79" s="95" t="n">
        <x:f>IF(I77&gt;0,0,H79)</x:f>
        <x:v>242.2</x:v>
      </x:c>
      <x:c r="J79" s="95" t="n">
        <x:f>IF(J77&gt;0,0,I79)</x:f>
        <x:v>242.2</x:v>
      </x:c>
      <x:c r="K79" s="95" t="n">
        <x:f>IF(K77&gt;0,0,J79)</x:f>
        <x:v>0</x:v>
      </x:c>
      <x:c r="L79" s="95" t="n">
        <x:f>IF(L77&gt;0,0,K79)</x:f>
        <x:v>0</x:v>
      </x:c>
      <x:c r="M79" s="95" t="n">
        <x:f>IF(M77&gt;0,0,L79)</x:f>
        <x:v>0</x:v>
      </x:c>
      <x:c r="N79" s="95" t="n">
        <x:f>IF(N77&gt;0,0,M79)</x:f>
        <x:v>0</x:v>
      </x:c>
      <x:c r="O79" s="95" t="n">
        <x:f>IF(O77&gt;0,0,N79)</x:f>
        <x:v>0</x:v>
      </x:c>
    </x:row>
    <x:row r="80" ht="22" customHeight="1">
      <x:c r="C80" s="84" t="str">
        <x:v>Operating receivables</x:v>
      </x:c>
      <x:c r="D80" s="95" t="n">
        <x:f>SUM(D23,D26,D29)*Sources!$D$55/SUM(Sources!$D$34,Sources!$D$35,Sources!$D$36)</x:f>
        <x:v>65.125396164053</x:v>
      </x:c>
      <x:c r="E80" s="95" t="n">
        <x:f>SUM(E23,E26,E29)*Sources!$D$55/SUM(Sources!$D$34,Sources!$D$35,Sources!$D$36)</x:f>
        <x:v>69.46806980606875</x:v>
      </x:c>
      <x:c r="F80" s="95" t="n">
        <x:f>SUM(F23,F26,F29)*Sources!$D$55/SUM(Sources!$D$34,Sources!$D$35,Sources!$D$36)</x:f>
        <x:v>75.26019152524383</x:v>
      </x:c>
      <x:c r="G80" s="95" t="n">
        <x:f>SUM(G23,G26,G29)*Sources!$D$55/SUM(Sources!$D$34,Sources!$D$35,Sources!$D$36)</x:f>
        <x:v>81.61149114319927</x:v>
      </x:c>
      <x:c r="H80" s="95" t="n">
        <x:f>SUM(H23,H26,H29)*Sources!$D$55/SUM(Sources!$D$34,Sources!$D$35,Sources!$D$36)</x:f>
        <x:v>88.5816176248766</x:v>
      </x:c>
      <x:c r="I80" s="95" t="n">
        <x:f>SUM(I23,I26,I29)*Sources!$D$55/SUM(Sources!$D$34,Sources!$D$35,Sources!$D$36)</x:f>
        <x:v>96.15135197166747</x:v>
      </x:c>
      <x:c r="J80" s="95" t="n">
        <x:f>SUM(J23,J26,J29)*Sources!$D$55/SUM(Sources!$D$34,Sources!$D$35,Sources!$D$36)</x:f>
        <x:v>103.3274960760196</x:v>
      </x:c>
      <x:c r="K80" s="95" t="n">
        <x:f>SUM(K23,K26,K29)*Sources!$D$55/SUM(Sources!$D$34,Sources!$D$35,Sources!$D$36)</x:f>
        <x:v>111.04434482897128</x:v>
      </x:c>
      <x:c r="L80" s="95" t="n">
        <x:f>SUM(L23,L26,L29)*Sources!$D$55/SUM(Sources!$D$34,Sources!$D$35,Sources!$D$36)</x:f>
        <x:v>128.47099957836295</x:v>
      </x:c>
      <x:c r="M80" s="95" t="n">
        <x:f>SUM(M23,M26,M29)*Sources!$D$55/SUM(Sources!$D$34,Sources!$D$35,Sources!$D$36)</x:f>
        <x:v>165.2172905497673</x:v>
      </x:c>
      <x:c r="N80" s="95" t="n">
        <x:f>SUM(N23,N26,N29)*Sources!$D$55/SUM(Sources!$D$34,Sources!$D$35,Sources!$D$36)</x:f>
        <x:v>205.01380570944133</x:v>
      </x:c>
      <x:c r="O80" s="95" t="n">
        <x:f>SUM(O23,O26,O29)*Sources!$D$55/SUM(Sources!$D$34,Sources!$D$35,Sources!$D$36)</x:f>
        <x:v>244.7457005486396</x:v>
      </x:c>
    </x:row>
    <x:row r="81" ht="22" customHeight="1">
      <x:c r="C81" s="84" t="str">
        <x:v>Total receivables</x:v>
      </x:c>
      <x:c r="D81" s="95" t="n">
        <x:f>SUM(D80,D78,Sources!$D$56)</x:f>
        <x:v>109.501396164053</x:v>
      </x:c>
      <x:c r="E81" s="95" t="n">
        <x:f>SUM(E80,E78,Sources!$D$56)</x:f>
        <x:v>113.84406980606876</x:v>
      </x:c>
      <x:c r="F81" s="95" t="n">
        <x:f>SUM(F80,F78,Sources!$D$56)</x:f>
        <x:v>119.63619152524383</x:v>
      </x:c>
      <x:c r="G81" s="95" t="n">
        <x:f>SUM(G80,G78,Sources!$D$56)</x:f>
        <x:v>125.98749114319928</x:v>
      </x:c>
      <x:c r="H81" s="95" t="n">
        <x:f>SUM(H80,H78,Sources!$D$56)</x:f>
        <x:v>132.9576176248766</x:v>
      </x:c>
      <x:c r="I81" s="95" t="n">
        <x:f>SUM(I80,I78,Sources!$D$56)</x:f>
        <x:v>140.52735197166746</x:v>
      </x:c>
      <x:c r="J81" s="95" t="n">
        <x:f>SUM(J80,J78,Sources!$D$56)</x:f>
        <x:v>147.7034960760196</x:v>
      </x:c>
      <x:c r="K81" s="95" t="n">
        <x:f>SUM(K80,K78,Sources!$D$56)</x:f>
        <x:v>135.22034482897126</x:v>
      </x:c>
      <x:c r="L81" s="95" t="n">
        <x:f>SUM(L80,L78,Sources!$D$56)</x:f>
        <x:v>152.64699957836294</x:v>
      </x:c>
      <x:c r="M81" s="95" t="n">
        <x:f>SUM(M80,M78,Sources!$D$56)</x:f>
        <x:v>189.3932905497673</x:v>
      </x:c>
      <x:c r="N81" s="95" t="n">
        <x:f>SUM(N80,N78,Sources!$D$56)</x:f>
        <x:v>229.18980570944132</x:v>
      </x:c>
      <x:c r="O81" s="95" t="n">
        <x:f>SUM(O80,O78,Sources!$D$56)</x:f>
        <x:v>268.9217005486396</x:v>
      </x:c>
    </x:row>
    <x:row r="82" ht="22" customHeight="1">
      <x:c r="C82" s="84" t="str">
        <x:v>Prepaid expenses and current assets</x:v>
      </x:c>
      <x:c r="D82" s="95" t="n">
        <x:f>SUM(D122,D125,Sources!$D$58,Sources!$D$59)</x:f>
        <x:v>281.8846216192894</x:v>
      </x:c>
      <x:c r="E82" s="95" t="n">
        <x:f>SUM(E122,E125,Sources!$D$58,Sources!$D$59)</x:f>
        <x:v>289.385487376708</x:v>
      </x:c>
      <x:c r="F82" s="95" t="n">
        <x:f>SUM(F122,F125,Sources!$D$58,Sources!$D$59)</x:f>
        <x:v>275.88042977326364</x:v>
      </x:c>
      <x:c r="G82" s="95" t="n">
        <x:f>SUM(G122,G125,Sources!$D$58,Sources!$D$59)</x:f>
        <x:v>287.3148950833103</x:v>
      </x:c>
      <x:c r="H82" s="95" t="n">
        <x:f>SUM(H122,H125,Sources!$D$58,Sources!$D$59)</x:f>
        <x:v>299.5047855345845</x:v>
      </x:c>
      <x:c r="I82" s="95" t="n">
        <x:f>SUM(I122,I125,Sources!$D$58,Sources!$D$59)</x:f>
        <x:v>312.4262380701521</x:v>
      </x:c>
      <x:c r="J82" s="95" t="n">
        <x:f>SUM(J122,J125,Sources!$D$58,Sources!$D$59)</x:f>
        <x:v>317.45732725320664</x:v>
      </x:c>
      <x:c r="K82" s="95" t="n">
        <x:f>SUM(K122,K125,Sources!$D$58,Sources!$D$59)</x:f>
        <x:v>328.86168723968905</x:v>
      </x:c>
      <x:c r="L82" s="95" t="n">
        <x:f>SUM(L122,L125,Sources!$D$58,Sources!$D$59)</x:f>
        <x:v>347.94741645829066</x:v>
      </x:c>
      <x:c r="M82" s="95" t="n">
        <x:f>SUM(M122,M125,Sources!$D$58,Sources!$D$59)</x:f>
        <x:v>385.73074451515726</x:v>
      </x:c>
      <x:c r="N82" s="95" t="n">
        <x:f>SUM(N122,N125,Sources!$D$58,Sources!$D$59)</x:f>
        <x:v>432.659062246028</x:v>
      </x:c>
      <x:c r="O82" s="95" t="n">
        <x:f>SUM(O122,O125,Sources!$D$58,Sources!$D$59)</x:f>
        <x:v>478.6532299495564</x:v>
      </x:c>
    </x:row>
    <x:row r="83" ht="22" customHeight="1">
      <x:c r="C83" s="84" t="str">
        <x:v>Accounts payable and accrued expenses</x:v>
      </x:c>
      <x:c r="D83" s="95" t="n">
        <x:f>SUM(D123,D128,D124,Sources!$D$65)</x:f>
        <x:v>425.0017326030312</x:v>
      </x:c>
      <x:c r="E83" s="95" t="n">
        <x:f>SUM(E123,E128,E124,Sources!$D$65)</x:f>
        <x:v>436.6710942984814</x:v>
      </x:c>
      <x:c r="F83" s="95" t="n">
        <x:f>SUM(F123,F128,F124,Sources!$D$65)</x:f>
        <x:v>443.61867077331146</x:v>
      </x:c>
      <x:c r="G83" s="95" t="n">
        <x:f>SUM(G123,G128,G124,Sources!$D$65)</x:f>
        <x:v>462.56654610486174</x:v>
      </x:c>
      <x:c r="H83" s="95" t="n">
        <x:f>SUM(H123,H128,H124,Sources!$D$65)</x:f>
        <x:v>482.7148630439906</x:v>
      </x:c>
      <x:c r="I83" s="95" t="n">
        <x:f>SUM(I123,I128,I124,Sources!$D$65)</x:f>
        <x:v>503.94896584876136</x:v>
      </x:c>
      <x:c r="J83" s="95" t="n">
        <x:f>SUM(J123,J128,J124,Sources!$D$65)</x:f>
        <x:v>521.6849075622762</x:v>
      </x:c>
      <x:c r="K83" s="95" t="n">
        <x:f>SUM(K123,K128,K124,Sources!$D$65)</x:f>
        <x:v>540.9653756757328</x:v>
      </x:c>
      <x:c r="L83" s="95" t="n">
        <x:f>SUM(L123,L128,L124,Sources!$D$65)</x:f>
        <x:v>579.5627916792346</x:v>
      </x:c>
      <x:c r="M83" s="95" t="n">
        <x:f>SUM(M123,M128,M124,Sources!$D$65)</x:f>
        <x:v>655.696027680072</x:v>
      </x:c>
      <x:c r="N83" s="95" t="n">
        <x:f>SUM(N123,N128,N124,Sources!$D$65)</x:f>
        <x:v>734.2487442530794</x:v>
      </x:c>
      <x:c r="O83" s="95" t="n">
        <x:f>SUM(O123,O128,O124,Sources!$D$65)</x:f>
        <x:v>811.9934580550216</x:v>
      </x:c>
    </x:row>
    <x:row r="84" ht="22" customHeight="1">
      <x:c r="C84" s="84" t="str">
        <x:v>Other current liabilities</x:v>
      </x:c>
      <x:c r="D84" s="95" t="n">
        <x:f>Sources!$D$24-Sources!$D$41+D79</x:f>
        <x:v>256.021</x:v>
      </x:c>
      <x:c r="E84" s="95" t="n">
        <x:f>Sources!$D$24-Sources!$D$41+E79</x:f>
        <x:v>256.021</x:v>
      </x:c>
      <x:c r="F84" s="95" t="n">
        <x:f>Sources!$D$24-Sources!$D$41+F79</x:f>
        <x:v>256.021</x:v>
      </x:c>
      <x:c r="G84" s="95" t="n">
        <x:f>Sources!$D$24-Sources!$D$41+G79</x:f>
        <x:v>256.021</x:v>
      </x:c>
      <x:c r="H84" s="95" t="n">
        <x:f>Sources!$D$24-Sources!$D$41+H79</x:f>
        <x:v>256.021</x:v>
      </x:c>
      <x:c r="I84" s="95" t="n">
        <x:f>Sources!$D$24-Sources!$D$41+I79</x:f>
        <x:v>256.021</x:v>
      </x:c>
      <x:c r="J84" s="95" t="n">
        <x:f>Sources!$D$24-Sources!$D$41+J79</x:f>
        <x:v>256.021</x:v>
      </x:c>
      <x:c r="K84" s="95" t="n">
        <x:f>Sources!$D$24-Sources!$D$41+K79</x:f>
        <x:v>13.821000000000026</x:v>
      </x:c>
      <x:c r="L84" s="95" t="n">
        <x:f>Sources!$D$24-Sources!$D$41+L79</x:f>
        <x:v>13.821000000000026</x:v>
      </x:c>
      <x:c r="M84" s="95" t="n">
        <x:f>Sources!$D$24-Sources!$D$41+M79</x:f>
        <x:v>13.821000000000026</x:v>
      </x:c>
      <x:c r="N84" s="95" t="n">
        <x:f>Sources!$D$24-Sources!$D$41+N79</x:f>
        <x:v>13.821000000000026</x:v>
      </x:c>
      <x:c r="O84" s="95" t="n">
        <x:f>Sources!$D$24-Sources!$D$41+O79</x:f>
        <x:v>13.821000000000026</x:v>
      </x:c>
    </x:row>
    <x:row r="85" ht="22" customHeight="1">
      <x:c r="C85" s="84" t="str">
        <x:v>Change in core working capital</x:v>
      </x:c>
      <x:c r="D85" s="142" t="n">
        <x:f>(D80-Sources!$D$55)+(D122-Sources!$D$57)+(D127-(Sources!$D$60-Sources!$D$61))-(D123-Sources!$D$62)-(D130-(Sources!$D$63-Sources!$D$64))</x:f>
        <x:v>1.3375772495033402</x:v>
      </x:c>
      <x:c r="E85" s="95" t="n">
        <x:f>(E80-D80)+(E122-D122)+(E127-D127)-(E123-D123)-(E130-D130)</x:f>
        <x:v>5.7088004154880565</x:v>
      </x:c>
      <x:c r="F85" s="95" t="n">
        <x:f>(F80-E80)+(F122-E122)+(F127-E127)-(F123-E123)-(F130-E130)</x:f>
        <x:v>-5.516573431486236</x:v>
      </x:c>
      <x:c r="G85" s="95" t="n">
        <x:f>(G80-F80)+(G122-F122)+(G127-F127)-(G123-F123)-(G130-F130)</x:f>
        <x:v>8.502766374002462</x:v>
      </x:c>
      <x:c r="H85" s="95" t="n">
        <x:f>(H80-G80)+(H122-G122)+(H127-G127)-(H123-G123)-(H130-G130)</x:f>
        <x:v>9.344972293813676</x:v>
      </x:c>
      <x:c r="I85" s="95" t="n">
        <x:f>(I80-H80)+(I122-H122)+(I127-H127)-(I123-H123)-(I130-H130)</x:f>
        <x:v>10.1882001874012</x:v>
      </x:c>
      <x:c r="J85" s="95" t="n">
        <x:f>(J80-I80)+(J122-I122)+(J127-I127)-(J123-I123)-(J130-I130)</x:f>
        <x:v>3.7785859311254484</x:v>
      </x:c>
      <x:c r="K85" s="95" t="n">
        <x:f>(K80-J80)+(K122-J122)+(K127-J127)-(K123-J123)-(K130-J130)</x:f>
        <x:v>9.567693942379435</x:v>
      </x:c>
      <x:c r="L85" s="95" t="n">
        <x:f>(L80-K80)+(L122-K122)+(L127-K127)-(L123-K123)-(L130-K130)</x:f>
        <x:v>18.986556454948683</x:v>
      </x:c>
      <x:c r="M85" s="95" t="n">
        <x:f>(M80-L80)+(M122-L122)+(M127-L127)-(M123-L123)-(M130-L130)</x:f>
        <x:v>39.17244601659951</x:v>
      </x:c>
      <x:c r="N85" s="95" t="n">
        <x:f>(N80-M80)+(N122-M122)+(N127-M127)-(N123-M123)-(N130-M130)</x:f>
        <x:v>47.46902218058035</x:v>
      </x:c>
      <x:c r="O85" s="95" t="n">
        <x:f>(O80-N80)+(O122-N122)+(O127-N127)-(O123-N123)-(O130-N130)</x:f>
        <x:v>46.37984311099086</x:v>
      </x:c>
    </x:row>
    <x:row r="86" ht="22" customHeight="1">
      <x:c r="C86" s="144" t="str">
        <x:v>Corporate cash from operations</x:v>
      </x:c>
      <x:c r="D86" s="127" t="n">
        <x:f>D76+D60+D42+D68-D132-D77</x:f>
        <x:v>118.44506249660468</x:v>
      </x:c>
      <x:c r="E86" s="127" t="n">
        <x:f>E76+E60+E42+E68-E132-E77</x:f>
        <x:v>120.90259940142464</x:v>
      </x:c>
      <x:c r="F86" s="127" t="n">
        <x:f>F76+F60+F42+F68-F132-F77</x:f>
        <x:v>117.88940821724334</x:v>
      </x:c>
      <x:c r="G86" s="127" t="n">
        <x:f>G76+G60+G42+G68-G132-G77</x:f>
        <x:v>115.08738819780898</x:v>
      </x:c>
      <x:c r="H86" s="127" t="n">
        <x:f>H76+H60+H42+H68-H132-H77</x:f>
        <x:v>126.99289634121058</x:v>
      </x:c>
      <x:c r="I86" s="127" t="n">
        <x:f>I76+I60+I42+I68-I132-I77</x:f>
        <x:v>138.0563944469824</x:v>
      </x:c>
      <x:c r="J86" s="127" t="n">
        <x:f>J76+J60+J42+J68-J132-J77</x:f>
        <x:v>149.1230984415994</x:v>
      </x:c>
      <x:c r="K86" s="127" t="n">
        <x:f>K76+K60+K42+K68-K132-K77</x:f>
        <x:v>-68.2286715680271</x:v>
      </x:c>
      <x:c r="L86" s="127" t="n">
        <x:f>L76+L60+L42+L68-L132-L77</x:f>
        <x:v>343.1780239716619</x:v>
      </x:c>
      <x:c r="M86" s="127" t="n">
        <x:f>M76+M60+M42+M68-M132-M77</x:f>
        <x:v>854.1043663465903</x:v>
      </x:c>
      <x:c r="N86" s="127" t="n">
        <x:f>N76+N60+N42+N68-N132-N77</x:f>
        <x:v>1069.5413111865355</x:v>
      </x:c>
      <x:c r="O86" s="127" t="n">
        <x:f>O76+O60+O42+O68-O132-O77</x:f>
        <x:v>1301.0544890471867</x:v>
      </x:c>
    </x:row>
    <x:row r="87" ht="22" customHeight="1">
      <x:c r="C87" s="144" t="str">
        <x:v>Corporate cash used in investing</x:v>
      </x:c>
      <x:c r="D87" s="127" t="n">
        <x:f>-D51</x:f>
        <x:v>-22.9129716252134</x:v>
      </x:c>
      <x:c r="E87" s="127" t="n">
        <x:f>-E51</x:f>
        <x:v>-23.815651225143267</x:v>
      </x:c>
      <x:c r="F87" s="127" t="n">
        <x:f>-F51</x:f>
        <x:v>-22.479406113229228</x:v>
      </x:c>
      <x:c r="G87" s="127" t="n">
        <x:f>-G51</x:f>
        <x:v>-24.102668505058006</x:v>
      </x:c>
      <x:c r="H87" s="127" t="n">
        <x:f>-H51</x:f>
        <x:v>-25.85898779487885</x:v>
      </x:c>
      <x:c r="I87" s="127" t="n">
        <x:f>-I51</x:f>
        <x:v>-27.45277956852312</x:v>
      </x:c>
      <x:c r="J87" s="127" t="n">
        <x:f>-J51</x:f>
        <x:v>-27.414650723978777</x:v>
      </x:c>
      <x:c r="K87" s="127" t="n">
        <x:f>-K51</x:f>
        <x:v>-28.801312111512246</x:v>
      </x:c>
      <x:c r="L87" s="127" t="n">
        <x:f>-L51</x:f>
        <x:v>-62.81710945729222</x:v>
      </x:c>
      <x:c r="M87" s="127" t="n">
        <x:f>-M51</x:f>
        <x:v>-140.41933833857212</x:v>
      </x:c>
      <x:c r="N87" s="127" t="n">
        <x:f>-N51</x:f>
        <x:v>-159.3366424832841</x:v>
      </x:c>
      <x:c r="O87" s="127" t="n">
        <x:f>-O51</x:f>
        <x:v>-181.4644883166081</x:v>
      </x:c>
    </x:row>
    <x:row r="88" ht="22" customHeight="1">
      <x:c r="C88" s="84" t="str">
        <x:v>Binance financing, net fee assumption</x:v>
      </x:c>
      <x:c r="D88" s="142" t="n">
        <x:f>Sources!$D$45-Sources!$D$85</x:f>
        <x:v>100</x:v>
      </x:c>
      <x:c r="E88" s="95" t="n">
        <x:f>0</x:f>
        <x:v>0</x:v>
      </x:c>
      <x:c r="F88" s="95" t="n">
        <x:f>0</x:f>
        <x:v>0</x:v>
      </x:c>
      <x:c r="G88" s="95" t="n">
        <x:f>0</x:f>
        <x:v>0</x:v>
      </x:c>
      <x:c r="H88" s="95" t="n">
        <x:f>0</x:f>
        <x:v>0</x:v>
      </x:c>
      <x:c r="I88" s="95" t="n">
        <x:f>0</x:f>
        <x:v>0</x:v>
      </x:c>
      <x:c r="J88" s="95" t="n">
        <x:f>0</x:f>
        <x:v>0</x:v>
      </x:c>
      <x:c r="K88" s="95" t="n">
        <x:f>0</x:f>
        <x:v>0</x:v>
      </x:c>
      <x:c r="L88" s="95" t="n">
        <x:f>0</x:f>
        <x:v>0</x:v>
      </x:c>
      <x:c r="M88" s="95" t="n">
        <x:f>0</x:f>
        <x:v>0</x:v>
      </x:c>
      <x:c r="N88" s="95" t="n">
        <x:f>0</x:f>
        <x:v>0</x:v>
      </x:c>
      <x:c r="O88" s="95" t="n">
        <x:f>0</x:f>
        <x:v>0</x:v>
      </x:c>
    </x:row>
    <x:row r="89" ht="22" customHeight="1">
      <x:c r="C89" s="84" t="str">
        <x:v>Existing RSU gross vesting proxy</x:v>
      </x:c>
      <x:c r="D89" s="142" t="n">
        <x:f>Sources!$D$51*(MIN(D11,Sources!$D$90)-MIN(D10,Sources!$D$90))/Sources!$D$90</x:f>
        <x:v>1.1527568493150686</x:v>
      </x:c>
      <x:c r="E89" s="142" t="n">
        <x:f>Sources!$D$51*(MIN(E11,Sources!$D$90)-MIN(E10,Sources!$D$90))/Sources!$D$90</x:f>
        <x:v>1.1527568493150686</x:v>
      </x:c>
      <x:c r="F89" s="142" t="n">
        <x:f>Sources!$D$51*(MIN(F11,Sources!$D$90)-MIN(F10,Sources!$D$90))/Sources!$D$90</x:f>
        <x:v>1.127696917808219</x:v>
      </x:c>
      <x:c r="G89" s="142" t="n">
        <x:f>Sources!$D$51*(MIN(G11,Sources!$D$90)-MIN(G10,Sources!$D$90))/Sources!$D$90</x:f>
        <x:v>1.1402268835616436</x:v>
      </x:c>
      <x:c r="H89" s="142" t="n">
        <x:f>Sources!$D$51*(MIN(H11,Sources!$D$90)-MIN(H10,Sources!$D$90))/Sources!$D$90</x:f>
        <x:v>1.1527568493150688</x:v>
      </x:c>
      <x:c r="I89" s="142" t="n">
        <x:f>Sources!$D$51*(MIN(I11,Sources!$D$90)-MIN(I10,Sources!$D$90))/Sources!$D$90</x:f>
        <x:v>1.1527568493150688</x:v>
      </x:c>
      <x:c r="J89" s="142" t="n">
        <x:f>Sources!$D$51*(MIN(J11,Sources!$D$90)-MIN(J10,Sources!$D$90))/Sources!$D$90</x:f>
        <x:v>1.1402268835616436</x:v>
      </x:c>
      <x:c r="K89" s="142" t="n">
        <x:f>Sources!$D$51*(MIN(K11,Sources!$D$90)-MIN(K10,Sources!$D$90))/Sources!$D$90</x:f>
        <x:v>1.1402268835616436</x:v>
      </x:c>
      <x:c r="L89" s="142" t="n">
        <x:f>Sources!$D$51*(MIN(L11,Sources!$D$90)-MIN(L10,Sources!$D$90))/Sources!$D$90</x:f>
        <x:v>2.3055136986301377</x:v>
      </x:c>
      <x:c r="M89" s="142" t="n">
        <x:f>Sources!$D$51*(MIN(M11,Sources!$D$90)-MIN(M10,Sources!$D$90))/Sources!$D$90</x:f>
        <x:v>3.170081335616438</x:v>
      </x:c>
      <x:c r="N89" s="142" t="n">
        <x:f>Sources!$D$51*(MIN(N11,Sources!$D$90)-MIN(N10,Sources!$D$90))/Sources!$D$90</x:f>
        <x:v>0</x:v>
      </x:c>
      <x:c r="O89" s="142" t="n">
        <x:f>Sources!$D$51*(MIN(O11,Sources!$D$90)-MIN(O10,Sources!$D$90))/Sources!$D$90</x:f>
        <x:v>0</x:v>
      </x:c>
    </x:row>
    <x:row r="90" ht="22" customHeight="1">
      <x:c r="C90" s="84" t="str">
        <x:v>New compensation gross share proxy</x:v>
      </x:c>
      <x:c r="D90" s="142" t="n">
        <x:f>(D46+D47)/Sources!$D$71</x:f>
        <x:v>0.32915812547290496</x:v>
      </x:c>
      <x:c r="E90" s="142" t="n">
        <x:f>(E46+E47)/Sources!$D$71</x:f>
        <x:v>0.3386514208330568</x:v>
      </x:c>
      <x:c r="F90" s="142" t="n">
        <x:f>(F46+F47)/Sources!$D$71</x:f>
        <x:v>0.40840497040025425</x:v>
      </x:c>
      <x:c r="G90" s="142" t="n">
        <x:f>(G46+G47)/Sources!$D$71</x:f>
        <x:v>0.4129428034047014</x:v>
      </x:c>
      <x:c r="H90" s="142" t="n">
        <x:f>(H46+H47)/Sources!$D$71</x:f>
        <x:v>0.41748063640914873</x:v>
      </x:c>
      <x:c r="I90" s="142" t="n">
        <x:f>(I46+I47)/Sources!$D$71</x:f>
        <x:v>0.41831942757453205</x:v>
      </x:c>
      <x:c r="J90" s="142" t="n">
        <x:f>(J46+J47)/Sources!$D$71</x:f>
        <x:v>0.5504654410783449</x:v>
      </x:c>
      <x:c r="K90" s="142" t="n">
        <x:f>(K46+K47)/Sources!$D$71</x:f>
        <x:v>0.5504654410783449</x:v>
      </x:c>
      <x:c r="L90" s="142" t="n">
        <x:f>(L46+L47)/Sources!$D$71</x:f>
        <x:v>1.1174139833479624</x:v>
      </x:c>
      <x:c r="M90" s="142" t="n">
        <x:f>(M46+M47)/Sources!$D$71</x:f>
        <x:v>3.0759821786308184</x:v>
      </x:c>
      <x:c r="N90" s="142" t="n">
        <x:f>(N46+N47)/Sources!$D$71</x:f>
        <x:v>4.4884892021109115</x:v>
      </x:c>
      <x:c r="O90" s="142" t="n">
        <x:f>(O46+O47)/Sources!$D$71</x:f>
        <x:v>4.850464137765017</x:v>
      </x:c>
    </x:row>
    <x:row r="91" ht="22" customHeight="1">
      <x:c r="C91" s="84" t="str">
        <x:v>Cash remitted for share withholding</x:v>
      </x:c>
      <x:c r="D91" s="142" t="n">
        <x:f>(D89+D90+D70)*Sources!$D$71*IF(AND(ISNUMBER(Sources!$D$84),Sources!$D$84&gt;=0,Sources!$D$84&lt;=1),Sources!$D$84,NA())</x:f>
        <x:v>37.464292477614755</x:v>
      </x:c>
      <x:c r="E91" s="142" t="n">
        <x:f>(E89+E90+E70)*Sources!$D$71*IF(AND(ISNUMBER(Sources!$D$84),Sources!$D$84&gt;=0,Sources!$D$84&lt;=1),Sources!$D$84,NA())</x:f>
        <x:v>37.70429247761476</x:v>
      </x:c>
      <x:c r="F91" s="142" t="n">
        <x:f>(F89+F90+F70)*Sources!$D$71*IF(AND(ISNUMBER(Sources!$D$84),Sources!$D$84&gt;=0,Sources!$D$84&lt;=1),Sources!$D$84,NA())</x:f>
        <x:v>38.83419183579841</x:v>
      </x:c>
      <x:c r="G91" s="142" t="n">
        <x:f>(G89+G90+G70)*Sources!$D$71*IF(AND(ISNUMBER(Sources!$D$84),Sources!$D$84&gt;=0,Sources!$D$84&lt;=1),Sources!$D$84,NA())</x:f>
        <x:v>39.26568285619616</x:v>
      </x:c>
      <x:c r="H91" s="142" t="n">
        <x:f>(H89+H90+H70)*Sources!$D$71*IF(AND(ISNUMBER(Sources!$D$84),Sources!$D$84&gt;=0,Sources!$D$84&lt;=1),Sources!$D$84,NA())</x:f>
        <x:v>39.69717387659394</x:v>
      </x:c>
      <x:c r="I91" s="142" t="n">
        <x:f>(I89+I90+I70)*Sources!$D$71*IF(AND(ISNUMBER(Sources!$D$84),Sources!$D$84&gt;=0,Sources!$D$84&lt;=1),Sources!$D$84,NA())</x:f>
        <x:v>39.71837935604599</x:v>
      </x:c>
      <x:c r="J91" s="142" t="n">
        <x:f>(J89+J90+J70)*Sources!$D$71*IF(AND(ISNUMBER(Sources!$D$84),Sources!$D$84&gt;=0,Sources!$D$84&lt;=1),Sources!$D$84,NA())</x:f>
        <x:v>42.74239265922355</x:v>
      </x:c>
      <x:c r="K91" s="142" t="n">
        <x:f>(K89+K90+K70)*Sources!$D$71*IF(AND(ISNUMBER(Sources!$D$84),Sources!$D$84&gt;=0,Sources!$D$84&lt;=1),Sources!$D$84,NA())</x:f>
        <x:v>42.74239265922355</x:v>
      </x:c>
      <x:c r="L91" s="142" t="n">
        <x:f>(L89+L90+L70)*Sources!$D$71*IF(AND(ISNUMBER(Sources!$D$84),Sources!$D$84&gt;=0,Sources!$D$84&lt;=1),Sources!$D$84,NA())</x:f>
        <x:v>86.53503472808835</x:v>
      </x:c>
      <x:c r="M91" s="142" t="n">
        <x:f>(M89+M90+M70)*Sources!$D$71*IF(AND(ISNUMBER(Sources!$D$84),Sources!$D$84&gt;=0,Sources!$D$84&lt;=1),Sources!$D$84,NA())</x:f>
        <x:v>159.78173170368487</x:v>
      </x:c>
      <x:c r="N91" s="142" t="n">
        <x:f>(N89+N90+N70)*Sources!$D$71*IF(AND(ISNUMBER(Sources!$D$84),Sources!$D$84&gt;=0,Sources!$D$84&lt;=1),Sources!$D$84,NA())</x:f>
        <x:v>117.22349551856594</x:v>
      </x:c>
      <x:c r="O91" s="142" t="n">
        <x:f>(O89+O90+O70)*Sources!$D$71*IF(AND(ISNUMBER(Sources!$D$84),Sources!$D$84&gt;=0,Sources!$D$84&lt;=1),Sources!$D$84,NA())</x:f>
        <x:v>124.4995838668374</x:v>
      </x:c>
    </x:row>
    <x:row r="92" ht="22" customHeight="1">
      <x:c r="C92" s="144" t="str">
        <x:v>Corporate cash from financing</x:v>
      </x:c>
      <x:c r="D92" s="127" t="n">
        <x:f>D88-D91</x:f>
        <x:v>62.535707522385245</x:v>
      </x:c>
      <x:c r="E92" s="127" t="n">
        <x:f>E88-E91</x:f>
        <x:v>-37.70429247761476</x:v>
      </x:c>
      <x:c r="F92" s="127" t="n">
        <x:f>F88-F91</x:f>
        <x:v>-38.83419183579841</x:v>
      </x:c>
      <x:c r="G92" s="127" t="n">
        <x:f>G88-G91</x:f>
        <x:v>-39.26568285619616</x:v>
      </x:c>
      <x:c r="H92" s="127" t="n">
        <x:f>H88-H91</x:f>
        <x:v>-39.69717387659394</x:v>
      </x:c>
      <x:c r="I92" s="127" t="n">
        <x:f>I88-I91</x:f>
        <x:v>-39.71837935604599</x:v>
      </x:c>
      <x:c r="J92" s="127" t="n">
        <x:f>J88-J91</x:f>
        <x:v>-42.74239265922355</x:v>
      </x:c>
      <x:c r="K92" s="127" t="n">
        <x:f>K88-K91</x:f>
        <x:v>-42.74239265922355</x:v>
      </x:c>
      <x:c r="L92" s="127" t="n">
        <x:f>L88-L91</x:f>
        <x:v>-86.53503472808835</x:v>
      </x:c>
      <x:c r="M92" s="127" t="n">
        <x:f>M88-M91</x:f>
        <x:v>-159.78173170368487</x:v>
      </x:c>
      <x:c r="N92" s="127" t="n">
        <x:f>N88-N91</x:f>
        <x:v>-117.22349551856594</x:v>
      </x:c>
      <x:c r="O92" s="127" t="n">
        <x:f>O88-O91</x:f>
        <x:v>-124.4995838668374</x:v>
      </x:c>
    </x:row>
    <x:row r="93" ht="22" customHeight="1">
      <x:c r="C93" s="84" t="str">
        <x:v>Stablecoin-holder financing change</x:v>
      </x:c>
      <x:c r="D93" s="142" t="n">
        <x:f>D17-Sources!$D$21+D124-Sources!$D$66</x:f>
        <x:v>2620.1975298471066</x:v>
      </x:c>
      <x:c r="E93" s="95" t="n">
        <x:f>E17-D17+E124-D124</x:f>
        <x:v>2714.146055823363</x:v>
      </x:c>
      <x:c r="F93" s="95" t="n">
        <x:f>F17-E17+F124-E124</x:f>
        <x:v>4435.198226773647</x:v>
      </x:c>
      <x:c r="G93" s="95" t="n">
        <x:f>G17-F17+G124-F124</x:f>
        <x:v>4739.59808159713</x:v>
      </x:c>
      <x:c r="H93" s="95" t="n">
        <x:f>H17-G17+H124-G124</x:f>
        <x:v>5067.375269948418</x:v>
      </x:c>
      <x:c r="I93" s="95" t="n">
        <x:f>I17-H17+I124-H124</x:f>
        <x:v>5360.554318098422</x:v>
      </x:c>
      <x:c r="J93" s="95" t="n">
        <x:f>J17-I17+J124-I124</x:f>
        <x:v>4558.069547490237</x:v>
      </x:c>
      <x:c r="K93" s="95" t="n">
        <x:f>K17-J17+K124-J124</x:f>
        <x:v>4770.0400469966935</x:v>
      </x:c>
      <x:c r="L93" s="95" t="n">
        <x:f>L17-K17+L124-K124</x:f>
        <x:v>10333.381654441131</x:v>
      </x:c>
      <x:c r="M93" s="95" t="n">
        <x:f>M17-L17+M124-L124</x:f>
        <x:v>20004.770524272768</x:v>
      </x:c>
      <x:c r="N93" s="95" t="n">
        <x:f>N17-M17+N124-M124</x:f>
        <x:v>19275.184775740465</x:v>
      </x:c>
      <x:c r="O93" s="95" t="n">
        <x:f>O17-N17+O124-N124</x:f>
        <x:v>18834.609123723534</x:v>
      </x:c>
    </x:row>
    <x:row r="94" ht="22" customHeight="1">
      <x:c r="C94" s="84" t="str">
        <x:v>Stablecoin reserve asset change</x:v>
      </x:c>
      <x:c r="D94" s="142" t="n">
        <x:f>D18-Sources!$D$10</x:f>
        <x:v>2620.1975298470934</x:v>
      </x:c>
      <x:c r="E94" s="95" t="n">
        <x:f>E18-D18</x:f>
        <x:v>2714.146055823352</x:v>
      </x:c>
      <x:c r="F94" s="95" t="n">
        <x:f>F18-E18</x:f>
        <x:v>4435.19822677366</x:v>
      </x:c>
      <x:c r="G94" s="95" t="n">
        <x:f>G18-F18</x:f>
        <x:v>4739.598081597127</x:v>
      </x:c>
      <x:c r="H94" s="95" t="n">
        <x:f>H18-G18</x:f>
        <x:v>5067.375269948418</x:v>
      </x:c>
      <x:c r="I94" s="95" t="n">
        <x:f>I18-H18</x:f>
        <x:v>5360.554318098424</x:v>
      </x:c>
      <x:c r="J94" s="95" t="n">
        <x:f>J18-I18</x:f>
        <x:v>4558.069547490231</x:v>
      </x:c>
      <x:c r="K94" s="95" t="n">
        <x:f>K18-J18</x:f>
        <x:v>4770.040046996699</x:v>
      </x:c>
      <x:c r="L94" s="95" t="n">
        <x:f>L18-K18</x:f>
        <x:v>10333.381654441124</x:v>
      </x:c>
      <x:c r="M94" s="95" t="n">
        <x:f>M18-L18</x:f>
        <x:v>20004.770524272768</x:v>
      </x:c>
      <x:c r="N94" s="95" t="n">
        <x:f>N18-M18</x:f>
        <x:v>19275.18477574046</x:v>
      </x:c>
      <x:c r="O94" s="95" t="n">
        <x:f>O18-N18</x:f>
        <x:v>18834.609123723552</x:v>
      </x:c>
    </x:row>
    <x:row r="95" ht="22" customHeight="1">
      <x:c r="C95" s="84" t="str">
        <x:v>Total cash-equivalent change</x:v>
      </x:c>
      <x:c r="D95" s="95" t="n">
        <x:f>SUM(D86,D87,D92,D93)</x:f>
        <x:v>2778.2653282408833</x:v>
      </x:c>
      <x:c r="E95" s="95" t="n">
        <x:f>SUM(E86,E87,E92,E93)</x:f>
        <x:v>2773.5287115220294</x:v>
      </x:c>
      <x:c r="F95" s="95" t="n">
        <x:f>SUM(F86,F87,F92,F93)</x:f>
        <x:v>4491.774037041862</x:v>
      </x:c>
      <x:c r="G95" s="95" t="n">
        <x:f>SUM(G86,G87,G92,G93)</x:f>
        <x:v>4791.317118433684</x:v>
      </x:c>
      <x:c r="H95" s="95" t="n">
        <x:f>SUM(H86,H87,H92,H93)</x:f>
        <x:v>5128.812004618156</x:v>
      </x:c>
      <x:c r="I95" s="95" t="n">
        <x:f>SUM(I86,I87,I92,I93)</x:f>
        <x:v>5431.439553620836</x:v>
      </x:c>
      <x:c r="J95" s="95" t="n">
        <x:f>SUM(J86,J87,J92,J93)</x:f>
        <x:v>4637.0356025486335</x:v>
      </x:c>
      <x:c r="K95" s="95" t="n">
        <x:f>SUM(K86,K87,K92,K93)</x:f>
        <x:v>4630.2676706579305</x:v>
      </x:c>
      <x:c r="L95" s="95" t="n">
        <x:f>SUM(L86,L87,L92,L93)</x:f>
        <x:v>10527.207534227413</x:v>
      </x:c>
      <x:c r="M95" s="95" t="n">
        <x:f>SUM(M86,M87,M92,M93)</x:f>
        <x:v>20558.6738205771</x:v>
      </x:c>
      <x:c r="N95" s="95" t="n">
        <x:f>SUM(N86,N87,N92,N93)</x:f>
        <x:v>20068.16594892515</x:v>
      </x:c>
      <x:c r="O95" s="95" t="n">
        <x:f>SUM(O86,O87,O92,O93)</x:f>
        <x:v>19829.699540587277</x:v>
      </x:c>
    </x:row>
    <x:row r="96" ht="22" customHeight="1">
      <x:c r="C96" s="84" t="str">
        <x:v>Corporate bank cash, opening</x:v>
      </x:c>
      <x:c r="D96" s="95" t="n">
        <x:f>Sources!$D$8</x:f>
        <x:v>1730.126</x:v>
      </x:c>
      <x:c r="E96" s="95" t="n">
        <x:f>D99</x:f>
        <x:v>1888.1937983937764</x:v>
      </x:c>
      <x:c r="F96" s="95" t="n">
        <x:f>E99</x:f>
        <x:v>1947.576454092443</x:v>
      </x:c>
      <x:c r="G96" s="95" t="n">
        <x:f>F99</x:f>
        <x:v>2004.1522643606588</x:v>
      </x:c>
      <x:c r="H96" s="95" t="n">
        <x:f>G99</x:f>
        <x:v>2055.8713011972136</x:v>
      </x:c>
      <x:c r="I96" s="95" t="n">
        <x:f>H99</x:f>
        <x:v>2117.3080358669517</x:v>
      </x:c>
      <x:c r="J96" s="95" t="n">
        <x:f>I99</x:f>
        <x:v>2188.193271389365</x:v>
      </x:c>
      <x:c r="K96" s="95" t="n">
        <x:f>J99</x:f>
        <x:v>2267.1593264477615</x:v>
      </x:c>
      <x:c r="L96" s="95" t="n">
        <x:f>K99</x:f>
        <x:v>2127.3869501089985</x:v>
      </x:c>
      <x:c r="M96" s="95" t="n">
        <x:f>L99</x:f>
        <x:v>2321.21282989528</x:v>
      </x:c>
      <x:c r="N96" s="95" t="n">
        <x:f>M99</x:f>
        <x:v>2875.116126199613</x:v>
      </x:c>
      <x:c r="O96" s="95" t="n">
        <x:f>N99</x:f>
        <x:v>3668.097299384299</x:v>
      </x:c>
    </x:row>
    <x:row r="97" ht="22" customHeight="1">
      <x:c r="C97" s="84" t="str">
        <x:v>Bank cash before internal transfer</x:v>
      </x:c>
      <x:c r="D97" s="95" t="n">
        <x:f>SUM(D96,D86,D87,D92)</x:f>
        <x:v>1888.1937983937764</x:v>
      </x:c>
      <x:c r="E97" s="95" t="n">
        <x:f>SUM(E96,E86,E87,E92)</x:f>
        <x:v>1947.576454092443</x:v>
      </x:c>
      <x:c r="F97" s="95" t="n">
        <x:f>SUM(F96,F86,F87,F92)</x:f>
        <x:v>2004.1522643606588</x:v>
      </x:c>
      <x:c r="G97" s="95" t="n">
        <x:f>SUM(G96,G86,G87,G92)</x:f>
        <x:v>2055.8713011972136</x:v>
      </x:c>
      <x:c r="H97" s="95" t="n">
        <x:f>SUM(H96,H86,H87,H92)</x:f>
        <x:v>2117.3080358669517</x:v>
      </x:c>
      <x:c r="I97" s="95" t="n">
        <x:f>SUM(I96,I86,I87,I92)</x:f>
        <x:v>2188.193271389365</x:v>
      </x:c>
      <x:c r="J97" s="95" t="n">
        <x:f>SUM(J96,J86,J87,J92)</x:f>
        <x:v>2267.1593264477615</x:v>
      </x:c>
      <x:c r="K97" s="95" t="n">
        <x:f>SUM(K96,K86,K87,K92)</x:f>
        <x:v>2127.3869501089985</x:v>
      </x:c>
      <x:c r="L97" s="95" t="n">
        <x:f>SUM(L96,L86,L87,L92)</x:f>
        <x:v>2321.21282989528</x:v>
      </x:c>
      <x:c r="M97" s="95" t="n">
        <x:f>SUM(M96,M86,M87,M92)</x:f>
        <x:v>2875.116126199613</x:v>
      </x:c>
      <x:c r="N97" s="95" t="n">
        <x:f>SUM(N96,N86,N87,N92)</x:f>
        <x:v>3668.097299384299</x:v>
      </x:c>
      <x:c r="O97" s="95" t="n">
        <x:f>SUM(O96,O86,O87,O92)</x:f>
        <x:v>4663.18771624804</x:v>
      </x:c>
    </x:row>
    <x:row r="98" ht="22" customHeight="1">
      <x:c r="C98" s="84" t="str">
        <x:v>Internal redemption of corporate-owned USDC</x:v>
      </x:c>
      <x:c r="D98" s="95" t="n">
        <x:f>MIN(D19,MAX(0,-D97))</x:f>
        <x:v>0</x:v>
      </x:c>
      <x:c r="E98" s="95" t="n">
        <x:f>MIN(E19,MAX(0,-E97))</x:f>
        <x:v>0</x:v>
      </x:c>
      <x:c r="F98" s="95" t="n">
        <x:f>MIN(F19,MAX(0,-F97))</x:f>
        <x:v>0</x:v>
      </x:c>
      <x:c r="G98" s="95" t="n">
        <x:f>MIN(G19,MAX(0,-G97))</x:f>
        <x:v>0</x:v>
      </x:c>
      <x:c r="H98" s="95" t="n">
        <x:f>MIN(H19,MAX(0,-H97))</x:f>
        <x:v>0</x:v>
      </x:c>
      <x:c r="I98" s="95" t="n">
        <x:f>MIN(I19,MAX(0,-I97))</x:f>
        <x:v>0</x:v>
      </x:c>
      <x:c r="J98" s="95" t="n">
        <x:f>MIN(J19,MAX(0,-J97))</x:f>
        <x:v>0</x:v>
      </x:c>
      <x:c r="K98" s="95" t="n">
        <x:f>MIN(K19,MAX(0,-K97))</x:f>
        <x:v>0</x:v>
      </x:c>
      <x:c r="L98" s="95" t="n">
        <x:f>MIN(L19,MAX(0,-L97))</x:f>
        <x:v>0</x:v>
      </x:c>
      <x:c r="M98" s="95" t="n">
        <x:f>MIN(M19,MAX(0,-M97))</x:f>
        <x:v>0</x:v>
      </x:c>
      <x:c r="N98" s="95" t="n">
        <x:f>MIN(N19,MAX(0,-N97))</x:f>
        <x:v>0</x:v>
      </x:c>
      <x:c r="O98" s="95" t="n">
        <x:f>MIN(O19,MAX(0,-O97))</x:f>
        <x:v>0</x:v>
      </x:c>
    </x:row>
    <x:row r="99" ht="22" customHeight="1">
      <x:c r="C99" s="144" t="str">
        <x:v>Corporate bank cash, closing</x:v>
      </x:c>
      <x:c r="D99" s="127" t="n">
        <x:f>D97+D98</x:f>
        <x:v>1888.1937983937764</x:v>
      </x:c>
      <x:c r="E99" s="127" t="n">
        <x:f>E97+E98</x:f>
        <x:v>1947.576454092443</x:v>
      </x:c>
      <x:c r="F99" s="127" t="n">
        <x:f>F97+F98</x:f>
        <x:v>2004.1522643606588</x:v>
      </x:c>
      <x:c r="G99" s="127" t="n">
        <x:f>G97+G98</x:f>
        <x:v>2055.8713011972136</x:v>
      </x:c>
      <x:c r="H99" s="127" t="n">
        <x:f>H97+H98</x:f>
        <x:v>2117.3080358669517</x:v>
      </x:c>
      <x:c r="I99" s="127" t="n">
        <x:f>I97+I98</x:f>
        <x:v>2188.193271389365</x:v>
      </x:c>
      <x:c r="J99" s="127" t="n">
        <x:f>J97+J98</x:f>
        <x:v>2267.1593264477615</x:v>
      </x:c>
      <x:c r="K99" s="127" t="n">
        <x:f>K97+K98</x:f>
        <x:v>2127.3869501089985</x:v>
      </x:c>
      <x:c r="L99" s="127" t="n">
        <x:f>L97+L98</x:f>
        <x:v>2321.21282989528</x:v>
      </x:c>
      <x:c r="M99" s="127" t="n">
        <x:f>M97+M98</x:f>
        <x:v>2875.116126199613</x:v>
      </x:c>
      <x:c r="N99" s="127" t="n">
        <x:f>N97+N98</x:f>
        <x:v>3668.097299384299</x:v>
      </x:c>
      <x:c r="O99" s="127" t="n">
        <x:f>O97+O98</x:f>
        <x:v>4663.18771624804</x:v>
      </x:c>
    </x:row>
    <x:row r="100" ht="22" customHeight="1">
      <x:c r="C100" s="84" t="str">
        <x:v>Corporate-owned USDC, closing</x:v>
      </x:c>
      <x:c r="D100" s="95" t="n">
        <x:f>D19-D98</x:f>
        <x:v>889.311</x:v>
      </x:c>
      <x:c r="E100" s="95" t="n">
        <x:f>E19-E98</x:f>
        <x:v>889.311</x:v>
      </x:c>
      <x:c r="F100" s="95" t="n">
        <x:f>F19-F98</x:f>
        <x:v>889.311</x:v>
      </x:c>
      <x:c r="G100" s="95" t="n">
        <x:f>G19-G98</x:f>
        <x:v>889.311</x:v>
      </x:c>
      <x:c r="H100" s="95" t="n">
        <x:f>H19-H98</x:f>
        <x:v>889.311</x:v>
      </x:c>
      <x:c r="I100" s="95" t="n">
        <x:f>I19-I98</x:f>
        <x:v>889.311</x:v>
      </x:c>
      <x:c r="J100" s="95" t="n">
        <x:f>J19-J98</x:f>
        <x:v>889.311</x:v>
      </x:c>
      <x:c r="K100" s="95" t="n">
        <x:f>K19-K98</x:f>
        <x:v>889.311</x:v>
      </x:c>
      <x:c r="L100" s="95" t="n">
        <x:f>L19-L98</x:f>
        <x:v>889.311</x:v>
      </x:c>
      <x:c r="M100" s="95" t="n">
        <x:f>M19-M98</x:f>
        <x:v>889.311</x:v>
      </x:c>
      <x:c r="N100" s="95" t="n">
        <x:f>N19-N98</x:f>
        <x:v>889.311</x:v>
      </x:c>
      <x:c r="O100" s="95" t="n">
        <x:f>O19-O98</x:f>
        <x:v>889.311</x:v>
      </x:c>
    </x:row>
    <x:row r="101" ht="22" customHeight="1">
      <x:c r="C101" s="84" t="str">
        <x:v>External funding requirement</x:v>
      </x:c>
      <x:c r="D101" s="95" t="n">
        <x:f>MAX(0,-D99)</x:f>
        <x:v>0</x:v>
      </x:c>
      <x:c r="E101" s="95" t="n">
        <x:f>MAX(0,-E99)</x:f>
        <x:v>0</x:v>
      </x:c>
      <x:c r="F101" s="95" t="n">
        <x:f>MAX(0,-F99)</x:f>
        <x:v>0</x:v>
      </x:c>
      <x:c r="G101" s="95" t="n">
        <x:f>MAX(0,-G99)</x:f>
        <x:v>0</x:v>
      </x:c>
      <x:c r="H101" s="95" t="n">
        <x:f>MAX(0,-H99)</x:f>
        <x:v>0</x:v>
      </x:c>
      <x:c r="I101" s="95" t="n">
        <x:f>MAX(0,-I99)</x:f>
        <x:v>0</x:v>
      </x:c>
      <x:c r="J101" s="95" t="n">
        <x:f>MAX(0,-J99)</x:f>
        <x:v>0</x:v>
      </x:c>
      <x:c r="K101" s="95" t="n">
        <x:f>MAX(0,-K99)</x:f>
        <x:v>0</x:v>
      </x:c>
      <x:c r="L101" s="95" t="n">
        <x:f>MAX(0,-L99)</x:f>
        <x:v>0</x:v>
      </x:c>
      <x:c r="M101" s="95" t="n">
        <x:f>MAX(0,-M99)</x:f>
        <x:v>0</x:v>
      </x:c>
      <x:c r="N101" s="95" t="n">
        <x:f>MAX(0,-N99)</x:f>
        <x:v>0</x:v>
      </x:c>
      <x:c r="O101" s="95" t="n">
        <x:f>MAX(0,-O99)</x:f>
        <x:v>0</x:v>
      </x:c>
    </x:row>
    <x:row r="102" ht="22" customHeight="1">
      <x:c r="C102" s="84" t="str">
        <x:v>Modeled basic shares, closing</x:v>
      </x:c>
      <x:c r="D102" s="95" t="n">
        <x:f>Sources!$D$48+Sources!$D$46+(D89+D90+D70)*(1-Sources!$D$84)*62/92+D66</x:f>
        <x:v>255.81196928158474</x:v>
      </x:c>
      <x:c r="E102" s="95" t="n">
        <x:f>D102+(E89+E90+E70)*(1-Sources!$D$84)+E66</x:f>
        <x:v>256.8559550706884</x:v>
      </x:c>
      <x:c r="F102" s="95" t="n">
        <x:f>E102+(F89+F90+F70)*(1-Sources!$D$84)+F66</x:f>
        <x:v>257.9312263924344</x:v>
      </x:c>
      <x:c r="G102" s="95" t="n">
        <x:f>F102+(G89+G90+G70)*(1-Sources!$D$84)+G66</x:f>
        <x:v>263.3853610389807</x:v>
      </x:c>
      <x:c r="H102" s="95" t="n">
        <x:f>G102+(H89+H90+H70)*(1-Sources!$D$84)+H66</x:f>
        <x:v>264.4845272789877</x:v>
      </x:c>
      <x:c r="I102" s="95" t="n">
        <x:f>H102+(I89+I90+I70)*(1-Sources!$D$84)+I66</x:f>
        <x:v>265.66339146747833</x:v>
      </x:c>
      <x:c r="J102" s="95" t="n">
        <x:f>I102+(J89+J90+J70)*(1-Sources!$D$84)+J66</x:f>
        <x:v>266.8468760947263</x:v>
      </x:c>
      <x:c r="K102" s="95" t="n">
        <x:f>J102+(K89+K90+K70)*(1-Sources!$D$84)+K66</x:f>
        <x:v>268.14507137424283</x:v>
      </x:c>
      <x:c r="L102" s="95" t="n">
        <x:f>K102+(L89+L90+L70)*(1-Sources!$D$84)+L66</x:f>
        <x:v>270.62023154629543</x:v>
      </x:c>
      <x:c r="M102" s="95" t="n">
        <x:f>L102+(M89+M90+M70)*(1-Sources!$D$84)+M66</x:f>
        <x:v>275.0799923228699</x:v>
      </x:c>
      <x:c r="N102" s="95" t="n">
        <x:f>M102+(N89+N90+N70)*(1-Sources!$D$84)+N66</x:f>
        <x:v>278.36136753994975</x:v>
      </x:c>
      <x:c r="O102" s="95" t="n">
        <x:f>N102+(O89+O90+O70)*(1-Sources!$D$84)+O66</x:f>
        <x:v>281.8442087529867</x:v>
      </x:c>
    </x:row>
    <x:row r="103" ht="22" customHeight="1">
      <x:c r="C103" s="84" t="str">
        <x:v>Additional paid-in capital</x:v>
      </x:c>
      <x:c r="D103" s="95" t="n">
        <x:f>Sources!$D$27+D42+D48+D68+D88+D63-D91</x:f>
        <x:v>4822.459018007129</x:v>
      </x:c>
      <x:c r="E103" s="95" t="n">
        <x:f>D103+E42+E48+E68+E88+E63-E91</x:f>
        <x:v>4850.692036014258</x:v>
      </x:c>
      <x:c r="F103" s="95" t="n">
        <x:f>E103+F42+F48+F68+F88+F63-F91</x:f>
        <x:v>4882.860261171075</x:v>
      </x:c>
      <x:c r="G103" s="95" t="n">
        <x:f>F103+G42+G48+G68+G88+G63-G91</x:f>
        <x:v>5315.385911051857</x:v>
      </x:c>
      <x:c r="H103" s="95" t="n">
        <x:f>G103+H42+H48+H68+H88+H63-H91</x:f>
        <x:v>5349.843249859205</x:v>
      </x:c>
      <x:c r="I103" s="95" t="n">
        <x:f>H103+I42+I48+I68+I88+I63-I91</x:f>
        <x:v>5384.2793831871</x:v>
      </x:c>
      <x:c r="J103" s="95" t="n">
        <x:f>I103+J42+J48+J68+J88+J63-J91</x:f>
        <x:v>5422.186289398712</x:v>
      </x:c>
      <x:c r="K103" s="95" t="n">
        <x:f>J103+K42+K48+K68+K88+K63-K91</x:f>
        <x:v>5460.093195610323</x:v>
      </x:c>
      <x:c r="L103" s="95" t="n">
        <x:f>K103+L42+L48+L68+L88+L63-L91</x:f>
        <x:v>5536.629270687001</x:v>
      </x:c>
      <x:c r="M103" s="95" t="n">
        <x:f>L103+M42+M48+M68+M88+M63-M91</x:f>
        <x:v>5730.834618325775</x:v>
      </x:c>
      <x:c r="N103" s="95" t="n">
        <x:f>M103+N42+N48+N68+N88+N63-N91</x:f>
        <x:v>5998.101829977241</x:v>
      </x:c>
      <x:c r="O103" s="95" t="n">
        <x:f>N103+O42+O48+O68+O88+O63-O91</x:f>
        <x:v>6285.448052702805</x:v>
      </x:c>
    </x:row>
    <x:row r="104" ht="22" customHeight="1">
      <x:c r="C104" s="84" t="str">
        <x:v>Accumulated earnings / deficit</x:v>
      </x:c>
      <x:c r="D104" s="95" t="n">
        <x:f>Sources!$D$28+D76</x:f>
        <x:v>-1156.645120538076</x:v>
      </x:c>
      <x:c r="E104" s="95" t="n">
        <x:f>D104+E76</x:f>
        <x:v>-1119.9811356756873</x:v>
      </x:c>
      <x:c r="F104" s="95" t="n">
        <x:f>E104+F76</x:f>
        <x:v>-1094.5164184440732</x:v>
      </x:c>
      <x:c r="G104" s="95" t="n">
        <x:f>F104+G76</x:f>
        <x:v>-1061.5310720692562</x:v>
      </x:c>
      <x:c r="H104" s="95" t="n">
        <x:f>G104+H76</x:f>
        <x:v>-1021.3721489899407</x:v>
      </x:c>
      <x:c r="I104" s="95" t="n">
        <x:f>H104+I76</x:f>
        <x:v>-972.4447645171883</x:v>
      </x:c>
      <x:c r="J104" s="95" t="n">
        <x:f>I104+J76</x:f>
        <x:v>-909.9800429293824</x:v>
      </x:c>
      <x:c r="K104" s="95" t="n">
        <x:f>J104+K76</x:f>
        <x:v>-840.3809505980058</x:v>
      </x:c>
      <x:c r="L104" s="95" t="n">
        <x:f>K104+L76</x:f>
        <x:v>-678.3975096777162</x:v>
      </x:c>
      <x:c r="M104" s="95" t="n">
        <x:f>L104+M76</x:f>
        <x:v>-233.8350202141196</x:v>
      </x:c>
      <x:c r="N104" s="95" t="n">
        <x:f>M104+N76</x:f>
        <x:v>378.06869326513083</x:v>
      </x:c>
      <x:c r="O104" s="95" t="n">
        <x:f>N104+O76</x:f>
        <x:v>1170.0282083831835</x:v>
      </x:c>
    </x:row>
    <x:row r="105" ht="22" customHeight="1">
      <x:c r="C105" s="84" t="str">
        <x:v>Restricted cash</x:v>
      </x:c>
      <x:c r="D105" s="95" t="n">
        <x:f>Sources!$D$13</x:f>
        <x:v>12.806</x:v>
      </x:c>
      <x:c r="E105" s="95" t="n">
        <x:f>D105</x:f>
        <x:v>12.806</x:v>
      </x:c>
      <x:c r="F105" s="95" t="n">
        <x:f>E105</x:f>
        <x:v>12.806</x:v>
      </x:c>
      <x:c r="G105" s="95" t="n">
        <x:f>F105</x:f>
        <x:v>12.806</x:v>
      </x:c>
      <x:c r="H105" s="95" t="n">
        <x:f>G105</x:f>
        <x:v>12.806</x:v>
      </x:c>
      <x:c r="I105" s="95" t="n">
        <x:f>H105</x:f>
        <x:v>12.806</x:v>
      </x:c>
      <x:c r="J105" s="95" t="n">
        <x:f>I105</x:f>
        <x:v>12.806</x:v>
      </x:c>
      <x:c r="K105" s="95" t="n">
        <x:f>J105</x:f>
        <x:v>12.806</x:v>
      </x:c>
      <x:c r="L105" s="95" t="n">
        <x:f>K105</x:f>
        <x:v>12.806</x:v>
      </x:c>
      <x:c r="M105" s="95" t="n">
        <x:f>L105</x:f>
        <x:v>12.806</x:v>
      </x:c>
      <x:c r="N105" s="95" t="n">
        <x:f>M105</x:f>
        <x:v>12.806</x:v>
      </x:c>
      <x:c r="O105" s="95" t="n">
        <x:f>N105</x:f>
        <x:v>12.806</x:v>
      </x:c>
    </x:row>
    <x:row r="106" ht="22" customHeight="1">
      <x:c r="C106" s="84" t="str">
        <x:v>Investments</x:v>
      </x:c>
      <x:c r="D106" s="95" t="n">
        <x:f>Sources!$D$14</x:f>
        <x:v>103.757</x:v>
      </x:c>
      <x:c r="E106" s="95" t="n">
        <x:f>D106</x:f>
        <x:v>103.757</x:v>
      </x:c>
      <x:c r="F106" s="95" t="n">
        <x:f>E106</x:f>
        <x:v>103.757</x:v>
      </x:c>
      <x:c r="G106" s="95" t="n">
        <x:f>F106</x:f>
        <x:v>103.757</x:v>
      </x:c>
      <x:c r="H106" s="95" t="n">
        <x:f>G106</x:f>
        <x:v>103.757</x:v>
      </x:c>
      <x:c r="I106" s="95" t="n">
        <x:f>H106</x:f>
        <x:v>103.757</x:v>
      </x:c>
      <x:c r="J106" s="95" t="n">
        <x:f>I106</x:f>
        <x:v>103.757</x:v>
      </x:c>
      <x:c r="K106" s="95" t="n">
        <x:f>J106</x:f>
        <x:v>103.757</x:v>
      </x:c>
      <x:c r="L106" s="95" t="n">
        <x:f>K106</x:f>
        <x:v>103.757</x:v>
      </x:c>
      <x:c r="M106" s="95" t="n">
        <x:f>L106</x:f>
        <x:v>103.757</x:v>
      </x:c>
      <x:c r="N106" s="95" t="n">
        <x:f>M106</x:f>
        <x:v>103.757</x:v>
      </x:c>
      <x:c r="O106" s="95" t="n">
        <x:f>N106</x:f>
        <x:v>103.757</x:v>
      </x:c>
    </x:row>
    <x:row r="107" ht="22" customHeight="1">
      <x:c r="C107" s="84" t="str">
        <x:v>Digital assets</x:v>
      </x:c>
      <x:c r="D107" s="95" t="n">
        <x:f>Sources!$D$16</x:f>
        <x:v>106.539</x:v>
      </x:c>
      <x:c r="E107" s="95" t="n">
        <x:f>D107</x:f>
        <x:v>106.539</x:v>
      </x:c>
      <x:c r="F107" s="95" t="n">
        <x:f>E107</x:f>
        <x:v>106.539</x:v>
      </x:c>
      <x:c r="G107" s="95" t="n">
        <x:f>F107</x:f>
        <x:v>106.539</x:v>
      </x:c>
      <x:c r="H107" s="95" t="n">
        <x:f>G107</x:f>
        <x:v>106.539</x:v>
      </x:c>
      <x:c r="I107" s="95" t="n">
        <x:f>H107</x:f>
        <x:v>106.539</x:v>
      </x:c>
      <x:c r="J107" s="95" t="n">
        <x:f>I107</x:f>
        <x:v>106.539</x:v>
      </x:c>
      <x:c r="K107" s="95" t="n">
        <x:f>J107</x:f>
        <x:v>106.539</x:v>
      </x:c>
      <x:c r="L107" s="95" t="n">
        <x:f>K107</x:f>
        <x:v>106.539</x:v>
      </x:c>
      <x:c r="M107" s="95" t="n">
        <x:f>L107</x:f>
        <x:v>106.539</x:v>
      </x:c>
      <x:c r="N107" s="95" t="n">
        <x:f>M107</x:f>
        <x:v>106.539</x:v>
      </x:c>
      <x:c r="O107" s="95" t="n">
        <x:f>N107</x:f>
        <x:v>106.539</x:v>
      </x:c>
    </x:row>
    <x:row r="108" ht="22" customHeight="1">
      <x:c r="C108" s="84" t="str">
        <x:v>Goodwill</x:v>
      </x:c>
      <x:c r="D108" s="95" t="n">
        <x:f>Sources!$D$17</x:f>
        <x:v>265.742</x:v>
      </x:c>
      <x:c r="E108" s="95" t="n">
        <x:f>D108</x:f>
        <x:v>265.742</x:v>
      </x:c>
      <x:c r="F108" s="95" t="n">
        <x:f>E108</x:f>
        <x:v>265.742</x:v>
      </x:c>
      <x:c r="G108" s="95" t="n">
        <x:f>F108</x:f>
        <x:v>265.742</x:v>
      </x:c>
      <x:c r="H108" s="95" t="n">
        <x:f>G108</x:f>
        <x:v>265.742</x:v>
      </x:c>
      <x:c r="I108" s="95" t="n">
        <x:f>H108</x:f>
        <x:v>265.742</x:v>
      </x:c>
      <x:c r="J108" s="95" t="n">
        <x:f>I108</x:f>
        <x:v>265.742</x:v>
      </x:c>
      <x:c r="K108" s="95" t="n">
        <x:f>J108</x:f>
        <x:v>265.742</x:v>
      </x:c>
      <x:c r="L108" s="95" t="n">
        <x:f>K108</x:f>
        <x:v>265.742</x:v>
      </x:c>
      <x:c r="M108" s="95" t="n">
        <x:f>L108</x:f>
        <x:v>265.742</x:v>
      </x:c>
      <x:c r="N108" s="95" t="n">
        <x:f>M108</x:f>
        <x:v>265.742</x:v>
      </x:c>
      <x:c r="O108" s="95" t="n">
        <x:f>N108</x:f>
        <x:v>265.742</x:v>
      </x:c>
    </x:row>
    <x:row r="109" ht="22" customHeight="1">
      <x:c r="C109" s="84" t="str">
        <x:v>Deferred tax assets</x:v>
      </x:c>
      <x:c r="D109" s="95" t="n">
        <x:f>Sources!$D$19</x:f>
        <x:v>11.354</x:v>
      </x:c>
      <x:c r="E109" s="95" t="n">
        <x:f>D109</x:f>
        <x:v>11.354</x:v>
      </x:c>
      <x:c r="F109" s="95" t="n">
        <x:f>E109</x:f>
        <x:v>11.354</x:v>
      </x:c>
      <x:c r="G109" s="95" t="n">
        <x:f>F109</x:f>
        <x:v>11.354</x:v>
      </x:c>
      <x:c r="H109" s="95" t="n">
        <x:f>G109</x:f>
        <x:v>11.354</x:v>
      </x:c>
      <x:c r="I109" s="95" t="n">
        <x:f>H109</x:f>
        <x:v>11.354</x:v>
      </x:c>
      <x:c r="J109" s="95" t="n">
        <x:f>I109</x:f>
        <x:v>11.354</x:v>
      </x:c>
      <x:c r="K109" s="95" t="n">
        <x:f>J109</x:f>
        <x:v>11.354</x:v>
      </x:c>
      <x:c r="L109" s="95" t="n">
        <x:f>K109</x:f>
        <x:v>11.354</x:v>
      </x:c>
      <x:c r="M109" s="95" t="n">
        <x:f>L109</x:f>
        <x:v>11.354</x:v>
      </x:c>
      <x:c r="N109" s="95" t="n">
        <x:f>M109</x:f>
        <x:v>11.354</x:v>
      </x:c>
      <x:c r="O109" s="95" t="n">
        <x:f>N109</x:f>
        <x:v>11.354</x:v>
      </x:c>
    </x:row>
    <x:row r="110" ht="22" customHeight="1">
      <x:c r="C110" s="84" t="str">
        <x:v>Other non-current assets</x:v>
      </x:c>
      <x:c r="D110" s="95" t="n">
        <x:f>Sources!$D$20</x:f>
        <x:v>26.89</x:v>
      </x:c>
      <x:c r="E110" s="95" t="n">
        <x:f>D110</x:f>
        <x:v>26.89</x:v>
      </x:c>
      <x:c r="F110" s="95" t="n">
        <x:f>E110</x:f>
        <x:v>26.89</x:v>
      </x:c>
      <x:c r="G110" s="95" t="n">
        <x:f>F110</x:f>
        <x:v>26.89</x:v>
      </x:c>
      <x:c r="H110" s="95" t="n">
        <x:f>G110</x:f>
        <x:v>26.89</x:v>
      </x:c>
      <x:c r="I110" s="95" t="n">
        <x:f>H110</x:f>
        <x:v>26.89</x:v>
      </x:c>
      <x:c r="J110" s="95" t="n">
        <x:f>I110</x:f>
        <x:v>26.89</x:v>
      </x:c>
      <x:c r="K110" s="95" t="n">
        <x:f>J110</x:f>
        <x:v>26.89</x:v>
      </x:c>
      <x:c r="L110" s="95" t="n">
        <x:f>K110</x:f>
        <x:v>26.89</x:v>
      </x:c>
      <x:c r="M110" s="95" t="n">
        <x:f>L110</x:f>
        <x:v>26.89</x:v>
      </x:c>
      <x:c r="N110" s="95" t="n">
        <x:f>M110</x:f>
        <x:v>26.89</x:v>
      </x:c>
      <x:c r="O110" s="95" t="n">
        <x:f>N110</x:f>
        <x:v>26.89</x:v>
      </x:c>
    </x:row>
    <x:row r="111" ht="22" customHeight="1">
      <x:c r="C111" s="84" t="str">
        <x:v>Debt</x:v>
      </x:c>
      <x:c r="D111" s="95" t="n">
        <x:f>Sources!$D$23</x:f>
        <x:v>0</x:v>
      </x:c>
      <x:c r="E111" s="95" t="n">
        <x:f>D111</x:f>
        <x:v>0</x:v>
      </x:c>
      <x:c r="F111" s="95" t="n">
        <x:f>E111</x:f>
        <x:v>0</x:v>
      </x:c>
      <x:c r="G111" s="95" t="n">
        <x:f>F111</x:f>
        <x:v>0</x:v>
      </x:c>
      <x:c r="H111" s="95" t="n">
        <x:f>G111</x:f>
        <x:v>0</x:v>
      </x:c>
      <x:c r="I111" s="95" t="n">
        <x:f>H111</x:f>
        <x:v>0</x:v>
      </x:c>
      <x:c r="J111" s="95" t="n">
        <x:f>I111</x:f>
        <x:v>0</x:v>
      </x:c>
      <x:c r="K111" s="95" t="n">
        <x:f>J111</x:f>
        <x:v>0</x:v>
      </x:c>
      <x:c r="L111" s="95" t="n">
        <x:f>K111</x:f>
        <x:v>0</x:v>
      </x:c>
      <x:c r="M111" s="95" t="n">
        <x:f>L111</x:f>
        <x:v>0</x:v>
      </x:c>
      <x:c r="N111" s="95" t="n">
        <x:f>M111</x:f>
        <x:v>0</x:v>
      </x:c>
      <x:c r="O111" s="95" t="n">
        <x:f>N111</x:f>
        <x:v>0</x:v>
      </x:c>
    </x:row>
    <x:row r="112" ht="22" customHeight="1">
      <x:c r="C112" s="84" t="str">
        <x:v>Deferred tax liabilities</x:v>
      </x:c>
      <x:c r="D112" s="95" t="n">
        <x:f>Sources!$D$25</x:f>
        <x:v>28.495</x:v>
      </x:c>
      <x:c r="E112" s="95" t="n">
        <x:f>D112</x:f>
        <x:v>28.495</x:v>
      </x:c>
      <x:c r="F112" s="95" t="n">
        <x:f>E112</x:f>
        <x:v>28.495</x:v>
      </x:c>
      <x:c r="G112" s="95" t="n">
        <x:f>F112</x:f>
        <x:v>28.495</x:v>
      </x:c>
      <x:c r="H112" s="95" t="n">
        <x:f>G112</x:f>
        <x:v>28.495</x:v>
      </x:c>
      <x:c r="I112" s="95" t="n">
        <x:f>H112</x:f>
        <x:v>28.495</x:v>
      </x:c>
      <x:c r="J112" s="95" t="n">
        <x:f>I112</x:f>
        <x:v>28.495</x:v>
      </x:c>
      <x:c r="K112" s="95" t="n">
        <x:f>J112</x:f>
        <x:v>28.495</x:v>
      </x:c>
      <x:c r="L112" s="95" t="n">
        <x:f>K112</x:f>
        <x:v>28.495</x:v>
      </x:c>
      <x:c r="M112" s="95" t="n">
        <x:f>L112</x:f>
        <x:v>28.495</x:v>
      </x:c>
      <x:c r="N112" s="95" t="n">
        <x:f>M112</x:f>
        <x:v>28.495</x:v>
      </x:c>
      <x:c r="O112" s="95" t="n">
        <x:f>N112</x:f>
        <x:v>28.495</x:v>
      </x:c>
    </x:row>
    <x:row r="113" ht="22" customHeight="1">
      <x:c r="C113" s="84" t="str">
        <x:v>Other non-current liabilities</x:v>
      </x:c>
      <x:c r="D113" s="95" t="n">
        <x:f>Sources!$D$26</x:f>
        <x:v>24.837</x:v>
      </x:c>
      <x:c r="E113" s="95" t="n">
        <x:f>D113</x:f>
        <x:v>24.837</x:v>
      </x:c>
      <x:c r="F113" s="95" t="n">
        <x:f>E113</x:f>
        <x:v>24.837</x:v>
      </x:c>
      <x:c r="G113" s="95" t="n">
        <x:f>F113</x:f>
        <x:v>24.837</x:v>
      </x:c>
      <x:c r="H113" s="95" t="n">
        <x:f>G113</x:f>
        <x:v>24.837</x:v>
      </x:c>
      <x:c r="I113" s="95" t="n">
        <x:f>H113</x:f>
        <x:v>24.837</x:v>
      </x:c>
      <x:c r="J113" s="95" t="n">
        <x:f>I113</x:f>
        <x:v>24.837</x:v>
      </x:c>
      <x:c r="K113" s="95" t="n">
        <x:f>J113</x:f>
        <x:v>24.837</x:v>
      </x:c>
      <x:c r="L113" s="95" t="n">
        <x:f>K113</x:f>
        <x:v>24.837</x:v>
      </x:c>
      <x:c r="M113" s="95" t="n">
        <x:f>L113</x:f>
        <x:v>24.837</x:v>
      </x:c>
      <x:c r="N113" s="95" t="n">
        <x:f>M113</x:f>
        <x:v>24.837</x:v>
      </x:c>
      <x:c r="O113" s="95" t="n">
        <x:f>N113</x:f>
        <x:v>24.837</x:v>
      </x:c>
    </x:row>
    <x:row r="114" ht="22" customHeight="1">
      <x:c r="C114" s="84" t="str">
        <x:v>Accumulated other comprehensive income</x:v>
      </x:c>
      <x:c r="D114" s="95" t="n">
        <x:f>Sources!$D$29</x:f>
        <x:v>6.449</x:v>
      </x:c>
      <x:c r="E114" s="95" t="n">
        <x:f>D114</x:f>
        <x:v>6.449</x:v>
      </x:c>
      <x:c r="F114" s="95" t="n">
        <x:f>E114</x:f>
        <x:v>6.449</x:v>
      </x:c>
      <x:c r="G114" s="95" t="n">
        <x:f>F114</x:f>
        <x:v>6.449</x:v>
      </x:c>
      <x:c r="H114" s="95" t="n">
        <x:f>G114</x:f>
        <x:v>6.449</x:v>
      </x:c>
      <x:c r="I114" s="95" t="n">
        <x:f>H114</x:f>
        <x:v>6.449</x:v>
      </x:c>
      <x:c r="J114" s="95" t="n">
        <x:f>I114</x:f>
        <x:v>6.449</x:v>
      </x:c>
      <x:c r="K114" s="95" t="n">
        <x:f>J114</x:f>
        <x:v>6.449</x:v>
      </x:c>
      <x:c r="L114" s="95" t="n">
        <x:f>K114</x:f>
        <x:v>6.449</x:v>
      </x:c>
      <x:c r="M114" s="95" t="n">
        <x:f>L114</x:f>
        <x:v>6.449</x:v>
      </x:c>
      <x:c r="N114" s="95" t="n">
        <x:f>M114</x:f>
        <x:v>6.449</x:v>
      </x:c>
      <x:c r="O114" s="95" t="n">
        <x:f>N114</x:f>
        <x:v>6.449</x:v>
      </x:c>
    </x:row>
    <x:row r="115" ht="22" customHeight="1">
      <x:c r="C115" s="84" t="str">
        <x:v>Common stock and treasury equity</x:v>
      </x:c>
      <x:c r="D115" s="95" t="n">
        <x:f>Sources!$D$32</x:f>
        <x:v>-2.6180000000000963</x:v>
      </x:c>
      <x:c r="E115" s="95" t="n">
        <x:f>D115</x:f>
        <x:v>-2.6180000000000963</x:v>
      </x:c>
      <x:c r="F115" s="95" t="n">
        <x:f>E115</x:f>
        <x:v>-2.6180000000000963</x:v>
      </x:c>
      <x:c r="G115" s="95" t="n">
        <x:f>F115</x:f>
        <x:v>-2.6180000000000963</x:v>
      </x:c>
      <x:c r="H115" s="95" t="n">
        <x:f>G115</x:f>
        <x:v>-2.6180000000000963</x:v>
      </x:c>
      <x:c r="I115" s="95" t="n">
        <x:f>H115</x:f>
        <x:v>-2.6180000000000963</x:v>
      </x:c>
      <x:c r="J115" s="95" t="n">
        <x:f>I115</x:f>
        <x:v>-2.6180000000000963</x:v>
      </x:c>
      <x:c r="K115" s="95" t="n">
        <x:f>J115</x:f>
        <x:v>-2.6180000000000963</x:v>
      </x:c>
      <x:c r="L115" s="95" t="n">
        <x:f>K115</x:f>
        <x:v>-2.6180000000000963</x:v>
      </x:c>
      <x:c r="M115" s="95" t="n">
        <x:f>L115</x:f>
        <x:v>-2.6180000000000963</x:v>
      </x:c>
      <x:c r="N115" s="95" t="n">
        <x:f>M115</x:f>
        <x:v>-2.6180000000000963</x:v>
      </x:c>
      <x:c r="O115" s="95" t="n">
        <x:f>N115</x:f>
        <x:v>-2.6180000000000963</x:v>
      </x:c>
    </x:row>
    <x:row r="116" ht="22" customHeight="1">
      <x:c r="C116" s="84" t="str">
        <x:v>Noncontrolling interests</x:v>
      </x:c>
      <x:c r="D116" s="95" t="n">
        <x:f>Sources!$D$31</x:f>
        <x:v>1.393</x:v>
      </x:c>
      <x:c r="E116" s="95" t="n">
        <x:f>D116</x:f>
        <x:v>1.393</x:v>
      </x:c>
      <x:c r="F116" s="95" t="n">
        <x:f>E116</x:f>
        <x:v>1.393</x:v>
      </x:c>
      <x:c r="G116" s="95" t="n">
        <x:f>F116</x:f>
        <x:v>1.393</x:v>
      </x:c>
      <x:c r="H116" s="95" t="n">
        <x:f>G116</x:f>
        <x:v>1.393</x:v>
      </x:c>
      <x:c r="I116" s="95" t="n">
        <x:f>H116</x:f>
        <x:v>1.393</x:v>
      </x:c>
      <x:c r="J116" s="95" t="n">
        <x:f>I116</x:f>
        <x:v>1.393</x:v>
      </x:c>
      <x:c r="K116" s="95" t="n">
        <x:f>J116</x:f>
        <x:v>1.393</x:v>
      </x:c>
      <x:c r="L116" s="95" t="n">
        <x:f>K116</x:f>
        <x:v>1.393</x:v>
      </x:c>
      <x:c r="M116" s="95" t="n">
        <x:f>L116</x:f>
        <x:v>1.393</x:v>
      </x:c>
      <x:c r="N116" s="95" t="n">
        <x:f>M116</x:f>
        <x:v>1.393</x:v>
      </x:c>
      <x:c r="O116" s="95" t="n">
        <x:f>N116</x:f>
        <x:v>1.393</x:v>
      </x:c>
    </x:row>
    <x:row r="117" ht="22" customHeight="1">
      <x:c r="C117" s="84" t="str">
        <x:v>Common shareholder equity</x:v>
      </x:c>
      <x:c r="D117" s="95" t="n">
        <x:f>SUM(D103,D104,D114,D115)</x:f>
        <x:v>3669.644897469053</x:v>
      </x:c>
      <x:c r="E117" s="95" t="n">
        <x:f>SUM(E103,E104,E114,E115)</x:f>
        <x:v>3734.5419003385705</x:v>
      </x:c>
      <x:c r="F117" s="95" t="n">
        <x:f>SUM(F103,F104,F114,F115)</x:f>
        <x:v>3792.1748427270018</x:v>
      </x:c>
      <x:c r="G117" s="95" t="n">
        <x:f>SUM(G103,G104,G114,G115)</x:f>
        <x:v>4257.6858389826</x:v>
      </x:c>
      <x:c r="H117" s="95" t="n">
        <x:f>SUM(H103,H104,H114,H115)</x:f>
        <x:v>4332.302100869263</x:v>
      </x:c>
      <x:c r="I117" s="95" t="n">
        <x:f>SUM(I103,I104,I114,I115)</x:f>
        <x:v>4415.665618669911</x:v>
      </x:c>
      <x:c r="J117" s="95" t="n">
        <x:f>SUM(J103,J104,J114,J115)</x:f>
        <x:v>4516.037246469328</x:v>
      </x:c>
      <x:c r="K117" s="95" t="n">
        <x:f>SUM(K103,K104,K114,K115)</x:f>
        <x:v>4623.543245012316</x:v>
      </x:c>
      <x:c r="L117" s="95" t="n">
        <x:f>SUM(L103,L104,L114,L115)</x:f>
        <x:v>4862.062761009284</x:v>
      </x:c>
      <x:c r="M117" s="95" t="n">
        <x:f>SUM(M103,M104,M114,M115)</x:f>
        <x:v>5500.830598111655</x:v>
      </x:c>
      <x:c r="N117" s="95" t="n">
        <x:f>SUM(N103,N104,N114,N115)</x:f>
        <x:v>6380.001523242371</x:v>
      </x:c>
      <x:c r="O117" s="95" t="n">
        <x:f>SUM(O103,O104,O114,O115)</x:f>
        <x:v>7459.307261085988</x:v>
      </x:c>
    </x:row>
    <x:row r="118" ht="22" customHeight="1">
      <x:c r="C118" s="144" t="str">
        <x:v>Total equity</x:v>
      </x:c>
      <x:c r="D118" s="127" t="n">
        <x:f>D117+D116</x:f>
        <x:v>3671.037897469053</x:v>
      </x:c>
      <x:c r="E118" s="127" t="n">
        <x:f>E117+E116</x:f>
        <x:v>3735.9349003385705</x:v>
      </x:c>
      <x:c r="F118" s="127" t="n">
        <x:f>F117+F116</x:f>
        <x:v>3793.567842727002</x:v>
      </x:c>
      <x:c r="G118" s="127" t="n">
        <x:f>G117+G116</x:f>
        <x:v>4259.0788389826</x:v>
      </x:c>
      <x:c r="H118" s="127" t="n">
        <x:f>H117+H116</x:f>
        <x:v>4333.695100869263</x:v>
      </x:c>
      <x:c r="I118" s="127" t="n">
        <x:f>I117+I116</x:f>
        <x:v>4417.058618669911</x:v>
      </x:c>
      <x:c r="J118" s="127" t="n">
        <x:f>J117+J116</x:f>
        <x:v>4517.430246469328</x:v>
      </x:c>
      <x:c r="K118" s="127" t="n">
        <x:f>K117+K116</x:f>
        <x:v>4624.936245012316</x:v>
      </x:c>
      <x:c r="L118" s="127" t="n">
        <x:f>L117+L116</x:f>
        <x:v>4863.455761009284</x:v>
      </x:c>
      <x:c r="M118" s="127" t="n">
        <x:f>M117+M116</x:f>
        <x:v>5502.223598111655</x:v>
      </x:c>
      <x:c r="N118" s="127" t="n">
        <x:f>N117+N116</x:f>
        <x:v>6381.394523242371</x:v>
      </x:c>
      <x:c r="O118" s="127" t="n">
        <x:f>O117+O116</x:f>
        <x:v>7460.700261085988</x:v>
      </x:c>
    </x:row>
    <x:row r="119" ht="22" customHeight="1">
      <x:c r="C119" s="144" t="str">
        <x:v>Total assets</x:v>
      </x:c>
      <x:c r="D119" s="127" t="n">
        <x:f>SUM(D99,D100,D18,D81,D82,D105,D106,D62,D107,D108,D61,D109,D110,D67)</x:f>
        <x:v>79947.7911148291</x:v>
      </x:c>
      <x:c r="E119" s="127" t="n">
        <x:f>SUM(E99,E100,E18,E81,E82,E105,E106,E62,E107,E108,E61,E109,E110,E67)</x:f>
        <x:v>82732.96891250594</x:v>
      </x:c>
      <x:c r="F119" s="127" t="n">
        <x:f>SUM(F99,F100,F18,F81,F82,F105,F106,F62,F107,F108,F61,F109,F110,F67)</x:f>
        <x:v>87223.70350637981</x:v>
      </x:c>
      <x:c r="G119" s="127" t="n">
        <x:f>SUM(G99,G100,G18,G81,G82,G105,G106,G62,G107,G108,G61,G109,G110,G67)</x:f>
        <x:v>92438.09558278654</x:v>
      </x:c>
      <x:c r="H119" s="127" t="n">
        <x:f>SUM(H99,H100,H18,H81,H82,H105,H106,H62,H107,H108,H61,H109,H110,H67)</x:f>
        <x:v>97589.90215926076</x:v>
      </x:c>
      <x:c r="I119" s="127" t="n">
        <x:f>SUM(I99,I100,I18,I81,I82,I105,I106,I62,I107,I108,I61,I109,I110,I67)</x:f>
        <x:v>103044.12298185479</x:v>
      </x:c>
      <x:c r="J119" s="127" t="n">
        <x:f>SUM(J99,J100,J18,J81,J82,J105,J106,J62,J107,J108,J61,J109,J110,J67)</x:f>
        <x:v>107711.00539079164</x:v>
      </x:c>
      <x:c r="K119" s="127" t="n">
        <x:f>SUM(K99,K100,K18,K81,K82,K105,K106,K62,K107,K108,K61,K109,K110,K67)</x:f>
        <x:v>112355.9049511284</x:v>
      </x:c>
      <x:c r="L119" s="127" t="n">
        <x:f>SUM(L99,L100,L18,L81,L82,L105,L106,L62,L107,L108,L61,L109,L110,L67)</x:f>
        <x:v>122945.33194907954</x:v>
      </x:c>
      <x:c r="M119" s="127" t="n">
        <x:f>SUM(M99,M100,M18,M81,M82,M105,M106,M62,M107,M108,M61,M109,M110,M67)</x:f>
        <x:v>143624.21028956928</x:v>
      </x:c>
      <x:c r="N119" s="127" t="n">
        <x:f>SUM(N99,N100,N18,N81,N82,N105,N106,N62,N107,N108,N61,N109,N110,N67)</x:f>
        <x:v>163817.81320420184</x:v>
      </x:c>
      <x:c r="O119" s="127" t="n">
        <x:f>SUM(O99,O100,O18,O81,O82,O105,O106,O62,O107,O108,O61,O109,O110,O67)</x:f>
        <x:v>183771.06568825222</x:v>
      </x:c>
    </x:row>
    <x:row r="120" ht="22" customHeight="1">
      <x:c r="C120" s="144" t="str">
        <x:v>Total liabilities</x:v>
      </x:c>
      <x:c r="D120" s="127" t="n">
        <x:f>SUM(D17,D83,D111,D84,D112,D113)</x:f>
        <x:v>76276.75321736005</x:v>
      </x:c>
      <x:c r="E120" s="127" t="n">
        <x:f>SUM(E17,E83,E111,E84,E112,E113)</x:f>
        <x:v>78997.03401216735</x:v>
      </x:c>
      <x:c r="F120" s="127" t="n">
        <x:f>SUM(F17,F83,F111,F84,F112,F113)</x:f>
        <x:v>83430.13566365279</x:v>
      </x:c>
      <x:c r="G120" s="127" t="n">
        <x:f>SUM(G17,G83,G111,G84,G112,G113)</x:f>
        <x:v>88179.01674380392</x:v>
      </x:c>
      <x:c r="H120" s="127" t="n">
        <x:f>SUM(H17,H83,H111,H84,H112,H113)</x:f>
        <x:v>93256.20705839148</x:v>
      </x:c>
      <x:c r="I120" s="127" t="n">
        <x:f>SUM(I17,I83,I111,I84,I112,I113)</x:f>
        <x:v>98627.06436318485</x:v>
      </x:c>
      <x:c r="J120" s="127" t="n">
        <x:f>SUM(J17,J83,J111,J84,J112,J113)</x:f>
        <x:v>103193.57514432231</x:v>
      </x:c>
      <x:c r="K120" s="127" t="n">
        <x:f>SUM(K17,K83,K111,K84,K112,K113)</x:f>
        <x:v>107730.96870611607</x:v>
      </x:c>
      <x:c r="L120" s="127" t="n">
        <x:f>SUM(L17,L83,L111,L84,L112,L113)</x:f>
        <x:v>118081.87618807024</x:v>
      </x:c>
      <x:c r="M120" s="127" t="n">
        <x:f>SUM(M17,M83,M111,M84,M112,M113)</x:f>
        <x:v>138121.98669145757</x:v>
      </x:c>
      <x:c r="N120" s="127" t="n">
        <x:f>SUM(N17,N83,N111,N84,N112,N113)</x:f>
        <x:v>157436.41868095944</x:v>
      </x:c>
      <x:c r="O120" s="127" t="n">
        <x:f>SUM(O17,O83,O111,O84,O112,O113)</x:f>
        <x:v>176310.36542716617</x:v>
      </x:c>
    </x:row>
    <x:row r="121" ht="22" customHeight="1">
      <x:c r="C121" s="84" t="str">
        <x:v>Balance-sheet difference</x:v>
      </x:c>
      <x:c r="D121" s="95" t="n">
        <x:f>D119-D120-D118</x:f>
        <x:v>9.094947017729282e-13</x:v>
      </x:c>
      <x:c r="E121" s="95" t="n">
        <x:f>E119-E120-E118</x:f>
        <x:v>1.6370904631912708e-11</x:v>
      </x:c>
      <x:c r="F121" s="95" t="n">
        <x:f>F119-F120-F118</x:f>
        <x:v>1.5916157281026244e-11</x:v>
      </x:c>
      <x:c r="G121" s="95" t="n">
        <x:f>G119-G120-G118</x:f>
        <x:v>1.9099388737231493e-11</x:v>
      </x:c>
      <x:c r="H121" s="95" t="n">
        <x:f>H119-H120-H118</x:f>
        <x:v>2.1827872842550278e-11</x:v>
      </x:c>
      <x:c r="I121" s="95" t="n">
        <x:f>I119-I120-I118</x:f>
        <x:v>2.546585164964199e-11</x:v>
      </x:c>
      <x:c r="J121" s="95" t="n">
        <x:f>J119-J120-J118</x:f>
        <x:v>3.637978807091713e-12</x:v>
      </x:c>
      <x:c r="K121" s="95" t="n">
        <x:f>K119-K120-K118</x:f>
        <x:v>1.3642420526593924e-11</x:v>
      </x:c>
      <x:c r="L121" s="95" t="n">
        <x:f>L119-L120-L118</x:f>
        <x:v>1.9099388737231493e-11</x:v>
      </x:c>
      <x:c r="M121" s="95" t="n">
        <x:f>M119-M120-M118</x:f>
        <x:v>5.729816621169448e-11</x:v>
      </x:c>
      <x:c r="N121" s="95" t="n">
        <x:f>N119-N120-N118</x:f>
        <x:v>3.001332515850663e-11</x:v>
      </x:c>
      <x:c r="O121" s="95" t="n">
        <x:f>O119-O120-O118</x:f>
        <x:v>6.275513442233205e-11</x:v>
      </x:c>
    </x:row>
    <x:row r="122" ht="22" customHeight="1">
      <x:c r="C122" s="84" t="str">
        <x:v>Corporate operating prepaid assets</x:v>
      </x:c>
      <x:c r="D122" s="95" t="n">
        <x:f>D40*Sources!$D$57/Sources!$D$37</x:f>
        <x:v>37.52694749495813</x:v>
      </x:c>
      <x:c r="E122" s="95" t="n">
        <x:f>E40*Sources!$D$57/Sources!$D$37</x:f>
        <x:v>38.262016744263015</x:v>
      </x:c>
      <x:c r="F122" s="95" t="n">
        <x:f>F40*Sources!$D$57/Sources!$D$37</x:f>
        <x:v>39.34629177996185</x:v>
      </x:c>
      <x:c r="G122" s="95" t="n">
        <x:f>G40*Sources!$D$57/Sources!$D$37</x:f>
        <x:v>40.473857930971114</x:v>
      </x:c>
      <x:c r="H122" s="95" t="n">
        <x:f>H40*Sources!$D$57/Sources!$D$37</x:f>
        <x:v>41.64666615040042</x:v>
      </x:c>
      <x:c r="I122" s="95" t="n">
        <x:f>I40*Sources!$D$57/Sources!$D$37</x:f>
        <x:v>42.85345875357459</x:v>
      </x:c>
      <x:c r="J122" s="95" t="n">
        <x:f>J40*Sources!$D$57/Sources!$D$37</x:f>
        <x:v>44.08153152379713</x:v>
      </x:c>
      <x:c r="K122" s="95" t="n">
        <x:f>K40*Sources!$D$57/Sources!$D$37</x:f>
        <x:v>45.344797783012815</x:v>
      </x:c>
      <x:c r="L122" s="95" t="n">
        <x:f>L40*Sources!$D$57/Sources!$D$37</x:f>
        <x:v>48.010778334935374</x:v>
      </x:c>
      <x:c r="M122" s="95" t="n">
        <x:f>M40*Sources!$D$57/Sources!$D$37</x:f>
        <x:v>52.81185616842891</x:v>
      </x:c>
      <x:c r="N122" s="95" t="n">
        <x:f>N40*Sources!$D$57/Sources!$D$37</x:f>
        <x:v>57.036804661903226</x:v>
      </x:c>
      <x:c r="O122" s="95" t="n">
        <x:f>O40*Sources!$D$57/Sources!$D$37</x:f>
        <x:v>61.59974903485549</x:v>
      </x:c>
    </x:row>
    <x:row r="123" ht="22" customHeight="1">
      <x:c r="C123" s="84" t="str">
        <x:v>Corporate operating payables</x:v>
      </x:c>
      <x:c r="D123" s="95" t="n">
        <x:f>(D40+Assumptions!D38)*Sources!$D$62/(Sources!$D$37+214.4)</x:f>
        <x:v>162.6641677837465</x:v>
      </x:c>
      <x:c r="E123" s="95" t="n">
        <x:f>(E40+Assumptions!E38)*Sources!$D$62/(Sources!$D$37+214.4)</x:f>
        <x:v>165.1011536264025</x:v>
      </x:c>
      <x:c r="F123" s="95" t="n">
        <x:f>(F40+Assumptions!F38)*Sources!$D$62/(Sources!$D$37+214.4)</x:f>
        <x:v>172.5494646367137</x:v>
      </x:c>
      <x:c r="G123" s="95" t="n">
        <x:f>(G40+Assumptions!G38)*Sources!$D$62/(Sources!$D$37+214.4)</x:f>
        <x:v>176.28770120322247</x:v>
      </x:c>
      <x:c r="H123" s="95" t="n">
        <x:f>(H40+Assumptions!H38)*Sources!$D$62/(Sources!$D$37+214.4)</x:f>
        <x:v>180.17592946144788</x:v>
      </x:c>
      <x:c r="I123" s="95" t="n">
        <x:f>(I40+Assumptions!I38)*Sources!$D$62/(Sources!$D$37+214.4)</x:f>
        <x:v>184.1768266445888</x:v>
      </x:c>
      <x:c r="J123" s="95" t="n">
        <x:f>(J40+Assumptions!J38)*Sources!$D$62/(Sources!$D$37+214.4)</x:f>
        <x:v>192.53004995718672</x:v>
      </x:c>
      <x:c r="K123" s="95" t="n">
        <x:f>(K40+Assumptions!K38)*Sources!$D$62/(Sources!$D$37+214.4)</x:f>
        <x:v>196.7181750789012</x:v>
      </x:c>
      <x:c r="L123" s="95" t="n">
        <x:f>(L40+Assumptions!L38)*Sources!$D$62/(Sources!$D$37+214.4)</x:f>
        <x:v>205.55673942909715</x:v>
      </x:c>
      <x:c r="M123" s="95" t="n">
        <x:f>(M40+Assumptions!M38)*Sources!$D$62/(Sources!$D$37+214.4)</x:f>
        <x:v>225.9340060520015</x:v>
      </x:c>
      <x:c r="N123" s="95" t="n">
        <x:f>(N40+Assumptions!N38)*Sources!$D$62/(Sources!$D$37+214.4)</x:f>
        <x:v>244.40122264017342</x:v>
      </x:c>
      <x:c r="O123" s="95" t="n">
        <x:f>(O40+Assumptions!O38)*Sources!$D$62/(Sources!$D$37+214.4)</x:f>
        <x:v>263.98900191538837</x:v>
      </x:c>
    </x:row>
    <x:row r="124" ht="22" customHeight="1">
      <x:c r="C124" s="84" t="str">
        <x:v>Customer redemptions in transit</x:v>
      </x:c>
      <x:c r="D124" s="95" t="n">
        <x:f>Sources!$D$66*D17/Sources!$D$21</x:f>
        <x:v>154.3590450900767</x:v>
      </x:c>
      <x:c r="E124" s="95" t="n">
        <x:f>Sources!$D$66*E17/Sources!$D$21</x:f>
        <x:v>159.89366780158056</x:v>
      </x:c>
      <x:c r="F124" s="95" t="n">
        <x:f>Sources!$D$66*F17/Sources!$D$21</x:f>
        <x:v>168.9378195646206</x:v>
      </x:c>
      <x:c r="G124" s="95" t="n">
        <x:f>Sources!$D$66*G17/Sources!$D$21</x:f>
        <x:v>178.60269634217116</x:v>
      </x:c>
      <x:c r="H124" s="95" t="n">
        <x:f>Sources!$D$66*H17/Sources!$D$21</x:f>
        <x:v>188.93596864216218</x:v>
      </x:c>
      <x:c r="I124" s="95" t="n">
        <x:f>Sources!$D$66*I17/Sources!$D$21</x:f>
        <x:v>199.8670847519757</x:v>
      </x:c>
      <x:c r="J124" s="95" t="n">
        <x:f>Sources!$D$66*J17/Sources!$D$21</x:f>
        <x:v>209.16179281826678</x:v>
      </x:c>
      <x:c r="K124" s="95" t="n">
        <x:f>Sources!$D$66*K17/Sources!$D$21</x:f>
        <x:v>218.88874613466893</x:v>
      </x:c>
      <x:c r="L124" s="95" t="n">
        <x:f>Sources!$D$66*L17/Sources!$D$21</x:f>
        <x:v>239.96033462512605</x:v>
      </x:c>
      <x:c r="M124" s="95" t="n">
        <x:f>Sources!$D$66*M17/Sources!$D$21</x:f>
        <x:v>280.75359151139753</x:v>
      </x:c>
      <x:c r="N124" s="95" t="n">
        <x:f>Sources!$D$66*N17/Sources!$D$21</x:f>
        <x:v>320.05909432299325</x:v>
      </x:c>
      <x:c r="O124" s="95" t="n">
        <x:f>Sources!$D$66*O17/Sources!$D$21</x:f>
        <x:v>358.4661856417525</x:v>
      </x:c>
    </x:row>
    <x:row r="125" ht="22" customHeight="1">
      <x:c r="C125" s="84" t="str">
        <x:v>Reserve-interest receivable</x:v>
      </x:c>
      <x:c r="D125" s="95" t="n">
        <x:f>D126+D127</x:f>
        <x:v>191.16667412433128</x:v>
      </x:c>
      <x:c r="E125" s="95" t="n">
        <x:f>E126+E127</x:f>
        <x:v>197.93247063244502</x:v>
      </x:c>
      <x:c r="F125" s="95" t="n">
        <x:f>F126+F127</x:f>
        <x:v>183.34313799330175</x:v>
      </x:c>
      <x:c r="G125" s="95" t="n">
        <x:f>G126+G127</x:f>
        <x:v>193.65003715233922</x:v>
      </x:c>
      <x:c r="H125" s="95" t="n">
        <x:f>H126+H127</x:f>
        <x:v>204.66711938418408</x:v>
      </x:c>
      <x:c r="I125" s="95" t="n">
        <x:f>I126+I127</x:f>
        <x:v>216.38177931657748</x:v>
      </x:c>
      <x:c r="J125" s="95" t="n">
        <x:f>J126+J127</x:f>
        <x:v>220.18479572940956</x:v>
      </x:c>
      <x:c r="K125" s="95" t="n">
        <x:f>K126+K127</x:f>
        <x:v>230.32588945667618</x:v>
      </x:c>
      <x:c r="L125" s="95" t="n">
        <x:f>L126+L127</x:f>
        <x:v>246.74563812335526</x:v>
      </x:c>
      <x:c r="M125" s="95" t="n">
        <x:f>M126+M127</x:f>
        <x:v>279.7278883467283</x:v>
      </x:c>
      <x:c r="N125" s="95" t="n">
        <x:f>N126+N127</x:f>
        <x:v>322.43125758412475</x:v>
      </x:c>
      <x:c r="O125" s="95" t="n">
        <x:f>O126+O127</x:f>
        <x:v>363.8624809147009</x:v>
      </x:c>
    </x:row>
    <x:row r="126" ht="22" customHeight="1">
      <x:c r="C126" s="84" t="str">
        <x:v>Allocated own-reserve interest receivable</x:v>
      </x:c>
      <x:c r="D126" s="95" t="n">
        <x:f>D19*D13*Sources!$D$60/Sources!$D$68</x:f>
        <x:v>2.2559091523801436</x:v>
      </x:c>
      <x:c r="E126" s="95" t="n">
        <x:f>E19*E13*Sources!$D$60/Sources!$D$68</x:f>
        <x:v>2.2559091523801436</x:v>
      </x:c>
      <x:c r="F126" s="95" t="n">
        <x:f>F19*F13*Sources!$D$60/Sources!$D$68</x:f>
        <x:v>1.9980909635366981</x:v>
      </x:c>
      <x:c r="G126" s="95" t="n">
        <x:f>G19*G13*Sources!$D$60/Sources!$D$68</x:f>
        <x:v>1.9980909635366981</x:v>
      </x:c>
      <x:c r="H126" s="95" t="n">
        <x:f>H19*H13*Sources!$D$60/Sources!$D$68</x:f>
        <x:v>1.9980909635366981</x:v>
      </x:c>
      <x:c r="I126" s="95" t="n">
        <x:f>I19*I13*Sources!$D$60/Sources!$D$68</x:f>
        <x:v>1.9980909635366981</x:v>
      </x:c>
      <x:c r="J126" s="95" t="n">
        <x:f>J19*J13*Sources!$D$60/Sources!$D$68</x:f>
        <x:v>1.9336364163258368</x:v>
      </x:c>
      <x:c r="K126" s="95" t="n">
        <x:f>K19*K13*Sources!$D$60/Sources!$D$68</x:f>
        <x:v>1.9336364163258368</x:v>
      </x:c>
      <x:c r="L126" s="95" t="n">
        <x:f>L19*L13*Sources!$D$60/Sources!$D$68</x:f>
        <x:v>1.9336364163258368</x:v>
      </x:c>
      <x:c r="M126" s="95" t="n">
        <x:f>M19*M13*Sources!$D$60/Sources!$D$68</x:f>
        <x:v>1.9336364163258368</x:v>
      </x:c>
      <x:c r="N126" s="95" t="n">
        <x:f>N19*N13*Sources!$D$60/Sources!$D$68</x:f>
        <x:v>1.9336364163258368</x:v>
      </x:c>
      <x:c r="O126" s="95" t="n">
        <x:f>O19*O13*Sources!$D$60/Sources!$D$68</x:f>
        <x:v>1.9336364163258368</x:v>
      </x:c>
    </x:row>
    <x:row r="127" ht="22" customHeight="1">
      <x:c r="C127" s="84" t="str">
        <x:v>Customer-pool interest receivable</x:v>
      </x:c>
      <x:c r="D127" s="95" t="n">
        <x:f>(D21/D9-D19*D13)*Sources!$D$60/Sources!$D$68</x:f>
        <x:v>188.91076497195112</x:v>
      </x:c>
      <x:c r="E127" s="95" t="n">
        <x:f>(E21/E9-E19*E13)*Sources!$D$60/Sources!$D$68</x:f>
        <x:v>195.67656148006486</x:v>
      </x:c>
      <x:c r="F127" s="95" t="n">
        <x:f>(F21/F9-F19*F13)*Sources!$D$60/Sources!$D$68</x:f>
        <x:v>181.34504702976506</x:v>
      </x:c>
      <x:c r="G127" s="95" t="n">
        <x:f>(G21/G9-G19*G13)*Sources!$D$60/Sources!$D$68</x:f>
        <x:v>191.65194618880253</x:v>
      </x:c>
      <x:c r="H127" s="95" t="n">
        <x:f>(H21/H9-H19*H13)*Sources!$D$60/Sources!$D$68</x:f>
        <x:v>202.66902842064738</x:v>
      </x:c>
      <x:c r="I127" s="95" t="n">
        <x:f>(I21/I9-I19*I13)*Sources!$D$60/Sources!$D$68</x:f>
        <x:v>214.38368835304078</x:v>
      </x:c>
      <x:c r="J127" s="95" t="n">
        <x:f>(J21/J9-J19*J13)*Sources!$D$60/Sources!$D$68</x:f>
        <x:v>218.25115931308372</x:v>
      </x:c>
      <x:c r="K127" s="95" t="n">
        <x:f>(K21/K9-K19*K13)*Sources!$D$60/Sources!$D$68</x:f>
        <x:v>228.39225304035034</x:v>
      </x:c>
      <x:c r="L127" s="95" t="n">
        <x:f>(L21/L9-L19*L13)*Sources!$D$60/Sources!$D$68</x:f>
        <x:v>244.81200170702942</x:v>
      </x:c>
      <x:c r="M127" s="95" t="n">
        <x:f>(M21/M9-M19*M13)*Sources!$D$60/Sources!$D$68</x:f>
        <x:v>277.7942519304025</x:v>
      </x:c>
      <x:c r="N127" s="95" t="n">
        <x:f>(N21/N9-N19*N13)*Sources!$D$60/Sources!$D$68</x:f>
        <x:v>320.4976211677989</x:v>
      </x:c>
      <x:c r="O127" s="95" t="n">
        <x:f>(O21/O9-O19*O13)*Sources!$D$60/Sources!$D$68</x:f>
        <x:v>361.92884449837504</x:v>
      </x:c>
    </x:row>
    <x:row r="128" ht="22" customHeight="1">
      <x:c r="C128" s="84" t="str">
        <x:v>Accrued distribution payable</x:v>
      </x:c>
      <x:c r="D128" s="95" t="n">
        <x:f>D129+D130</x:f>
        <x:v>104.47951972920801</x:v>
      </x:c>
      <x:c r="E128" s="95" t="n">
        <x:f>E129+E130</x:f>
        <x:v>108.17727287049834</x:v>
      </x:c>
      <x:c r="F128" s="95" t="n">
        <x:f>F129+F130</x:f>
        <x:v>98.63238657197714</x:v>
      </x:c>
      <x:c r="G128" s="95" t="n">
        <x:f>G129+G130</x:f>
        <x:v>104.1771485594681</x:v>
      </x:c>
      <x:c r="H128" s="95" t="n">
        <x:f>H129+H130</x:f>
        <x:v>110.1039649403805</x:v>
      </x:c>
      <x:c r="I128" s="95" t="n">
        <x:f>I129+I130</x:f>
        <x:v>116.40605445219681</x:v>
      </x:c>
      <x:c r="J128" s="95" t="n">
        <x:f>J129+J130</x:f>
        <x:v>116.49406478682266</x:v>
      </x:c>
      <x:c r="K128" s="95" t="n">
        <x:f>K129+K130</x:f>
        <x:v>121.85945446216273</x:v>
      </x:c>
      <x:c r="L128" s="95" t="n">
        <x:f>L129+L130</x:f>
        <x:v>130.5467176250114</x:v>
      </x:c>
      <x:c r="M128" s="95" t="n">
        <x:f>M129+M130</x:f>
        <x:v>145.50943011667297</x:v>
      </x:c>
      <x:c r="N128" s="95" t="n">
        <x:f>N129+N130</x:f>
        <x:v>166.28942728991268</x:v>
      </x:c>
      <x:c r="O128" s="95" t="n">
        <x:f>O129+O130</x:f>
        <x:v>186.03927049788078</x:v>
      </x:c>
    </x:row>
    <x:row r="129" ht="22" customHeight="1">
      <x:c r="C129" s="84" t="str">
        <x:v>Allocated own-reserve distribution payable</x:v>
      </x:c>
      <x:c r="D129" s="95" t="n">
        <x:f>D19*D13*(1-D14)*Sources!$D$63/Sources!$D$69</x:f>
        <x:v>1.232936158318628</x:v>
      </x:c>
      <x:c r="E129" s="95" t="n">
        <x:f>E19*E13*(1-E14)*Sources!$D$63/Sources!$D$69</x:f>
        <x:v>1.232936158318628</x:v>
      </x:c>
      <x:c r="F129" s="95" t="n">
        <x:f>F19*F13*(1-F14)*Sources!$D$63/Sources!$D$69</x:f>
        <x:v>1.0749051340482996</x:v>
      </x:c>
      <x:c r="G129" s="95" t="n">
        <x:f>G19*G13*(1-G14)*Sources!$D$63/Sources!$D$69</x:f>
        <x:v>1.0749051340482996</x:v>
      </x:c>
      <x:c r="H129" s="95" t="n">
        <x:f>H19*H13*(1-H14)*Sources!$D$63/Sources!$D$69</x:f>
        <x:v>1.0749051340482996</x:v>
      </x:c>
      <x:c r="I129" s="95" t="n">
        <x:f>I19*I13*(1-I14)*Sources!$D$63/Sources!$D$69</x:f>
        <x:v>1.0749051340482996</x:v>
      </x:c>
      <x:c r="J129" s="95" t="n">
        <x:f>J19*J13*(1-J14)*Sources!$D$63/Sources!$D$69</x:f>
        <x:v>1.0230368777799066</x:v>
      </x:c>
      <x:c r="K129" s="95" t="n">
        <x:f>K19*K13*(1-K14)*Sources!$D$63/Sources!$D$69</x:f>
        <x:v>1.0230368777799066</x:v>
      </x:c>
      <x:c r="L129" s="95" t="n">
        <x:f>L19*L13*(1-L14)*Sources!$D$63/Sources!$D$69</x:f>
        <x:v>1.0230368777799066</x:v>
      </x:c>
      <x:c r="M129" s="95" t="n">
        <x:f>M19*M13*(1-M14)*Sources!$D$63/Sources!$D$69</x:f>
        <x:v>1.0058429806743616</x:v>
      </x:c>
      <x:c r="N129" s="95" t="n">
        <x:f>N19*N13*(1-N14)*Sources!$D$63/Sources!$D$69</x:f>
        <x:v>0.9972460321215897</x:v>
      </x:c>
      <x:c r="O129" s="95" t="n">
        <x:f>O19*O13*(1-O14)*Sources!$D$63/Sources!$D$69</x:f>
        <x:v>0.9886490835688171</x:v>
      </x:c>
    </x:row>
    <x:row r="130" ht="22" customHeight="1">
      <x:c r="C130" s="84" t="str">
        <x:v>Customer-pool distribution payable</x:v>
      </x:c>
      <x:c r="D130" s="95" t="n">
        <x:f>(D32/D9-D19*D13*(1-D14))*Sources!$D$63/Sources!$D$69</x:f>
        <x:v>103.24658357088938</x:v>
      </x:c>
      <x:c r="E130" s="95" t="n">
        <x:f>(E32/E9-E19*E13*(1-E14))*Sources!$D$63/Sources!$D$69</x:f>
        <x:v>106.94433671217972</x:v>
      </x:c>
      <x:c r="F130" s="95" t="n">
        <x:f>(F32/F9-F19*F13*(1-F14))*Sources!$D$63/Sources!$D$69</x:f>
        <x:v>97.55748143792884</x:v>
      </x:c>
      <x:c r="G130" s="95" t="n">
        <x:f>(G32/G9-G19*G13*(1-G14))*Sources!$D$63/Sources!$D$69</x:f>
        <x:v>103.1022434254198</x:v>
      </x:c>
      <x:c r="H130" s="95" t="n">
        <x:f>(H32/H9-H19*H13*(1-H14))*Sources!$D$63/Sources!$D$69</x:f>
        <x:v>109.0290598063322</x:v>
      </x:c>
      <x:c r="I130" s="95" t="n">
        <x:f>(I32/I9-I19*I13*(1-I14))*Sources!$D$63/Sources!$D$69</x:f>
        <x:v>115.33114931814852</x:v>
      </x:c>
      <x:c r="J130" s="95" t="n">
        <x:f>(J32/J9-J19*J13*(1-J14))*Sources!$D$63/Sources!$D$69</x:f>
        <x:v>115.47102790904276</x:v>
      </x:c>
      <x:c r="K130" s="95" t="n">
        <x:f>(K32/K9-K19*K13*(1-K14))*Sources!$D$63/Sources!$D$69</x:f>
        <x:v>120.83641758438283</x:v>
      </x:c>
      <x:c r="L130" s="95" t="n">
        <x:f>(L32/L9-L19*L13*(1-L14))*Sources!$D$63/Sources!$D$69</x:f>
        <x:v>129.5236807472315</x:v>
      </x:c>
      <x:c r="M130" s="95" t="n">
        <x:f>(M32/M9-M19*M13*(1-M14))*Sources!$D$63/Sources!$D$69</x:f>
        <x:v>144.5035871359986</x:v>
      </x:c>
      <x:c r="N130" s="95" t="n">
        <x:f>(N32/N9-N19*N13*(1-N14))*Sources!$D$63/Sources!$D$69</x:f>
        <x:v>165.2921812577911</x:v>
      </x:c>
      <x:c r="O130" s="95" t="n">
        <x:f>(O32/O9-O19*O13*(1-O14))*Sources!$D$63/Sources!$D$69</x:f>
        <x:v>185.05062141431196</x:v>
      </x:c>
    </x:row>
    <x:row r="131" ht="22" customHeight="1">
      <x:c r="C131" s="84" t="str">
        <x:v>Allocated own-reserve net working capital</x:v>
      </x:c>
      <x:c r="D131" s="95" t="n">
        <x:f>D126-D129</x:f>
        <x:v>1.0229729940615155</x:v>
      </x:c>
      <x:c r="E131" s="95" t="n">
        <x:f>E126-E129</x:f>
        <x:v>1.0229729940615155</x:v>
      </x:c>
      <x:c r="F131" s="95" t="n">
        <x:f>F126-F129</x:f>
        <x:v>0.9231858294883986</x:v>
      </x:c>
      <x:c r="G131" s="95" t="n">
        <x:f>G126-G129</x:f>
        <x:v>0.9231858294883986</x:v>
      </x:c>
      <x:c r="H131" s="95" t="n">
        <x:f>H126-H129</x:f>
        <x:v>0.9231858294883986</x:v>
      </x:c>
      <x:c r="I131" s="95" t="n">
        <x:f>I126-I129</x:f>
        <x:v>0.9231858294883986</x:v>
      </x:c>
      <x:c r="J131" s="95" t="n">
        <x:f>J126-J129</x:f>
        <x:v>0.9105995385459302</x:v>
      </x:c>
      <x:c r="K131" s="95" t="n">
        <x:f>K126-K129</x:f>
        <x:v>0.9105995385459302</x:v>
      </x:c>
      <x:c r="L131" s="95" t="n">
        <x:f>L126-L129</x:f>
        <x:v>0.9105995385459302</x:v>
      </x:c>
      <x:c r="M131" s="95" t="n">
        <x:f>M126-M129</x:f>
        <x:v>0.9277934356514752</x:v>
      </x:c>
      <x:c r="N131" s="95" t="n">
        <x:f>N126-N129</x:f>
        <x:v>0.9363903842042471</x:v>
      </x:c>
      <x:c r="O131" s="95" t="n">
        <x:f>O126-O129</x:f>
        <x:v>0.9449873327570197</x:v>
      </x:c>
    </x:row>
    <x:row r="132" ht="22" customHeight="1">
      <x:c r="C132" s="84" t="str">
        <x:v>Change in book corporate working capital</x:v>
      </x:c>
      <x:c r="D132" s="142" t="n">
        <x:f>D85+D131-(Sources!$D$61-Sources!$D$64)</x:f>
        <x:v>1.3063302703879087</x:v>
      </x:c>
      <x:c r="E132" s="95" t="n">
        <x:f>E85+E131-D131</x:f>
        <x:v>5.7088004154880565</x:v>
      </x:c>
      <x:c r="F132" s="95" t="n">
        <x:f>F85+F131-E131</x:f>
        <x:v>-5.616360596059353</x:v>
      </x:c>
      <x:c r="G132" s="95" t="n">
        <x:f>G85+G131-F131</x:f>
        <x:v>8.502766374002462</x:v>
      </x:c>
      <x:c r="H132" s="95" t="n">
        <x:f>H85+H131-G131</x:f>
        <x:v>9.344972293813676</x:v>
      </x:c>
      <x:c r="I132" s="95" t="n">
        <x:f>I85+I131-H131</x:f>
        <x:v>10.1882001874012</x:v>
      </x:c>
      <x:c r="J132" s="95" t="n">
        <x:f>J85+J131-I131</x:f>
        <x:v>3.76599964018298</x:v>
      </x:c>
      <x:c r="K132" s="95" t="n">
        <x:f>K85+K131-J131</x:f>
        <x:v>9.567693942379435</x:v>
      </x:c>
      <x:c r="L132" s="95" t="n">
        <x:f>L85+L131-K131</x:f>
        <x:v>18.986556454948683</x:v>
      </x:c>
      <x:c r="M132" s="95" t="n">
        <x:f>M85+M131-L131</x:f>
        <x:v>39.18963991370505</x:v>
      </x:c>
      <x:c r="N132" s="95" t="n">
        <x:f>N85+N131-M131</x:f>
        <x:v>47.477619129133124</x:v>
      </x:c>
      <x:c r="O132" s="95" t="n">
        <x:f>O85+O131-N131</x:f>
        <x:v>46.38844005954364</x:v>
      </x:c>
    </x:row>
    <x:row r="133" ht="22" customHeight="1">
      <x:c r="C133" s="84" t="str">
        <x:v>Core operating income excluding own-reserve yield</x:v>
      </x:c>
      <x:c r="D133" s="95" t="n">
        <x:f>D72+D68+D71-D36</x:f>
        <x:v>25.166813978794305</x:v>
      </x:c>
      <x:c r="E133" s="95" t="n">
        <x:f>E72+E68+E71-E36</x:f>
        <x:v>30.254493387191506</x:v>
      </x:c>
      <x:c r="F133" s="95" t="n">
        <x:f>F72+F68+F71-F36</x:f>
        <x:v>16.38089194041341</x:v>
      </x:c>
      <x:c r="G133" s="95" t="n">
        <x:f>G72+G68+G71-G36</x:f>
        <x:v>25.775891042660785</x:v>
      </x:c>
      <x:c r="H133" s="95" t="n">
        <x:f>H72+H68+H71-H36</x:f>
        <x:v>36.31075698884511</x:v>
      </x:c>
      <x:c r="I133" s="95" t="n">
        <x:f>I72+I68+I71-I36</x:f>
        <x:v>47.52199071723181</x:v>
      </x:c>
      <x:c r="J133" s="95" t="n">
        <x:f>J72+J68+J71-J36</x:f>
        <x:v>65.78308003615655</x:v>
      </x:c>
      <x:c r="K133" s="95" t="n">
        <x:f>K72+K68+K71-K36</x:f>
        <x:v>74.70495153815186</x:v>
      </x:c>
      <x:c r="L133" s="95" t="n">
        <x:f>L72+L68+L71-L36</x:f>
        <x:v>181.5063958344419</x:v>
      </x:c>
      <x:c r="M133" s="95" t="n">
        <x:f>M72+M68+M71-M36</x:f>
        <x:v>518.2874012127488</x:v>
      </x:c>
      <x:c r="N133" s="95" t="n">
        <x:f>N72+N68+N71-N36</x:f>
        <x:v>724.6585376944905</x:v>
      </x:c>
      <x:c r="O133" s="95" t="n">
        <x:f>O72+O68+O71-O36</x:f>
        <x:v>937.6615796288175</x:v>
      </x:c>
    </x:row>
    <x:row r="134" ht="22" customHeight="1">
      <x:c r="C134" s="84" t="str">
        <x:v>Core earnings after normalized tax</x:v>
      </x:c>
      <x:c r="D134" s="142" t="n">
        <x:f>D133-MAX(0,D133)*Sources!$D$81</x:f>
        <x:v>18.87511048409573</x:v>
      </x:c>
      <x:c r="E134" s="142" t="n">
        <x:f>E133-MAX(0,E133)*Sources!$D$81</x:f>
        <x:v>22.69087004039363</x:v>
      </x:c>
      <x:c r="F134" s="142" t="n">
        <x:f>F133-MAX(0,F133)*Sources!$D$81</x:f>
        <x:v>12.285668955310058</x:v>
      </x:c>
      <x:c r="G134" s="142" t="n">
        <x:f>G133-MAX(0,G133)*Sources!$D$81</x:f>
        <x:v>19.331918281995588</x:v>
      </x:c>
      <x:c r="H134" s="142" t="n">
        <x:f>H133-MAX(0,H133)*Sources!$D$81</x:f>
        <x:v>27.233067741633832</x:v>
      </x:c>
      <x:c r="I134" s="142" t="n">
        <x:f>I133-MAX(0,I133)*Sources!$D$81</x:f>
        <x:v>35.64149303792386</x:v>
      </x:c>
      <x:c r="J134" s="142" t="n">
        <x:f>J133-MAX(0,J133)*Sources!$D$81</x:f>
        <x:v>49.33731002711741</x:v>
      </x:c>
      <x:c r="K134" s="142" t="n">
        <x:f>K133-MAX(0,K133)*Sources!$D$81</x:f>
        <x:v>56.02871365361389</x:v>
      </x:c>
      <x:c r="L134" s="142" t="n">
        <x:f>L133-MAX(0,L133)*Sources!$D$81</x:f>
        <x:v>136.1297968758314</x:v>
      </x:c>
      <x:c r="M134" s="142" t="n">
        <x:f>M133-MAX(0,M133)*Sources!$D$81</x:f>
        <x:v>388.7155509095616</x:v>
      </x:c>
      <x:c r="N134" s="142" t="n">
        <x:f>N133-MAX(0,N133)*Sources!$D$81</x:f>
        <x:v>543.4939032708679</x:v>
      </x:c>
      <x:c r="O134" s="142" t="n">
        <x:f>O133-MAX(0,O133)*Sources!$D$81</x:f>
        <x:v>703.2461847216132</x:v>
      </x:c>
    </x:row>
    <x:row r="135" ht="22" customHeight="1">
      <x:c r="C135" s="144" t="str">
        <x:v>Economic corporate free cash flow</x:v>
      </x:c>
      <x:c r="D135" s="127" t="n">
        <x:f>D134+D60+D44-D51-D47-D85</x:f>
        <x:v>54.04791968084593</x:v>
      </x:c>
      <x:c r="E135" s="127" t="n">
        <x:f>E134+E60+E44-E51-E47-E85</x:f>
        <x:v>54.57567812068443</x:v>
      </x:c>
      <x:c r="F135" s="127" t="n">
        <x:f>F134+F60+F44-F51-F47-F85</x:f>
        <x:v>47.71487980750763</x:v>
      </x:c>
      <x:c r="G135" s="127" t="n">
        <x:f>G134+G60+G44-G51-G47-G85</x:f>
        <x:v>42.532601557015376</x:v>
      </x:c>
      <x:c r="H135" s="127" t="n">
        <x:f>H134+H60+H44-H51-H47-H85</x:f>
        <x:v>51.45269577585006</x:v>
      </x:c>
      <x:c r="I135" s="127" t="n">
        <x:f>I134+I60+I44-I51-I47-I85</x:f>
        <x:v>60.491681079324</x:v>
      </x:c>
      <x:c r="J135" s="127" t="n">
        <x:f>J134+J60+J44-J51-J47-J85</x:f>
        <x:v>60.623574511136084</x:v>
      </x:c>
      <x:c r="K135" s="127" t="n">
        <x:f>K134+K60+K44-K51-K47-K85</x:f>
        <x:v>63.45476228784443</x:v>
      </x:c>
      <x:c r="L135" s="127" t="n">
        <x:f>L134+L60+L44-L51-L47-L85</x:f>
        <x:v>157.19426568797678</x:v>
      </x:c>
      <x:c r="M135" s="127" t="n">
        <x:f>M134+M60+M44-M51-M47-M85</x:f>
        <x:v>392.3965430497245</x:v>
      </x:c>
      <x:c r="N135" s="127" t="n">
        <x:f>N134+N60+N44-N51-N47-N85</x:f>
        <x:v>457.3127482733898</x:v>
      </x:c>
      <x:c r="O135" s="127" t="n">
        <x:f>O134+O60+O44-O51-O47-O85</x:f>
        <x:v>619.0394606902908</x:v>
      </x:c>
    </x:row>
    <x:row r="136" ht="22" customHeight="1">
      <x:c r="C136" s="84" t="str">
        <x:v>EPS per mean opening/closing modeled shares</x:v>
      </x:c>
      <x:c r="D136" s="147" t="n">
        <x:f>D76/((Sources!$D$47+D102)/2)</x:f>
        <x:v>0.12816735134449533</x:v>
      </x:c>
      <x:c r="E136" s="149" t="n">
        <x:f>E76/((D102+E102)/2)</x:f>
        <x:v>0.14303209980890355</x:v>
      </x:c>
      <x:c r="F136" s="149" t="n">
        <x:f>F76/((E102+F102)/2)</x:f>
        <x:v>0.09893298881001052</x:v>
      </x:c>
      <x:c r="G136" s="149" t="n">
        <x:f>G76/((F102+G102)/2)</x:f>
        <x:v>0.12654631435128308</x:v>
      </x:c>
      <x:c r="H136" s="149" t="n">
        <x:f>H76/((G102+H102)/2)</x:f>
        <x:v>0.15215462737334765</x:v>
      </x:c>
      <x:c r="I136" s="149" t="n">
        <x:f>I76/((H102+I102)/2)</x:f>
        <x:v>0.18458012468837404</x:v>
      </x:c>
      <x:c r="J136" s="149" t="n">
        <x:f>J76/((I102+J102)/2)</x:f>
        <x:v>0.2346047593552145</x:v>
      </x:c>
      <x:c r="K136" s="149" t="n">
        <x:f>K76/((J102+K102)/2)</x:f>
        <x:v>0.2601874389349142</x:v>
      </x:c>
      <x:c r="L136" s="149" t="n">
        <x:f>L76/((K102+L102)/2)</x:f>
        <x:v>0.6013135591405384</x:v>
      </x:c>
      <x:c r="M136" s="149" t="n">
        <x:f>M76/((L102+M102)/2)</x:f>
        <x:v>1.6293285947787444</x:v>
      </x:c>
      <x:c r="N136" s="149" t="n">
        <x:f>N76/((M102+N102)/2)</x:f>
        <x:v>2.2112684662054236</x:v>
      </x:c>
      <x:c r="O136" s="149" t="n">
        <x:f>O76/((N102+O102)/2)</x:f>
        <x:v>2.82738890376175</x:v>
      </x:c>
    </x:row>
    <x:row r="137" ht="22" customHeight="1">
      <x:c r="C137" s="69"/>
      <x:c r="D137" s="73"/>
      <x:c r="E137" s="73"/>
      <x:c r="F137" s="73"/>
      <x:c r="G137" s="73"/>
      <x:c r="H137" s="73"/>
      <x:c r="I137" s="73"/>
      <x:c r="J137" s="73"/>
      <x:c r="K137" s="73"/>
      <x:c r="L137" s="73"/>
      <x:c r="M137" s="73"/>
      <x:c r="N137" s="73"/>
      <x:c r="O137" s="73"/>
    </x:row>
  </x:sheetData>
  <x:conditionalFormatting sqref="D21:O21">
    <x:cfRule type="cellIs" dxfId="1" priority="1" operator="greaterThan">
      <x:formula>0</x:formula>
    </x:cfRule>
    <x:cfRule type="cellIs" dxfId="2" priority="2" operator="lessThan">
      <x:formula>0</x:formula>
    </x:cfRule>
  </x:conditionalFormatting>
  <x:conditionalFormatting sqref="D24:O24">
    <x:cfRule type="cellIs" dxfId="3" priority="3" operator="greaterThan">
      <x:formula>0</x:formula>
    </x:cfRule>
    <x:cfRule type="cellIs" dxfId="4" priority="4" operator="lessThan">
      <x:formula>0</x:formula>
    </x:cfRule>
  </x:conditionalFormatting>
  <x:conditionalFormatting sqref="D27:O27">
    <x:cfRule type="cellIs" dxfId="5" priority="5" operator="greaterThan">
      <x:formula>0</x:formula>
    </x:cfRule>
    <x:cfRule type="cellIs" dxfId="6" priority="6" operator="lessThan">
      <x:formula>0</x:formula>
    </x:cfRule>
  </x:conditionalFormatting>
  <x:conditionalFormatting sqref="D30:O30">
    <x:cfRule type="cellIs" dxfId="7" priority="7" operator="greaterThan">
      <x:formula>0</x:formula>
    </x:cfRule>
    <x:cfRule type="cellIs" dxfId="8" priority="8" operator="lessThan">
      <x:formula>0</x:formula>
    </x:cfRule>
  </x:conditionalFormatting>
  <x:conditionalFormatting sqref="D31:O31">
    <x:cfRule type="cellIs" dxfId="9" priority="9" operator="greaterThan">
      <x:formula>0</x:formula>
    </x:cfRule>
    <x:cfRule type="cellIs" dxfId="10" priority="10" operator="lessThan">
      <x:formula>0</x:formula>
    </x:cfRule>
  </x:conditionalFormatting>
  <x:conditionalFormatting sqref="D34:O34">
    <x:cfRule type="cellIs" dxfId="11" priority="11" operator="greaterThan">
      <x:formula>0</x:formula>
    </x:cfRule>
    <x:cfRule type="cellIs" dxfId="12" priority="12" operator="lessThan">
      <x:formula>0</x:formula>
    </x:cfRule>
  </x:conditionalFormatting>
  <x:conditionalFormatting sqref="D35:O35">
    <x:cfRule type="cellIs" dxfId="13" priority="13" operator="greaterThan">
      <x:formula>0</x:formula>
    </x:cfRule>
    <x:cfRule type="cellIs" dxfId="14" priority="14" operator="lessThan">
      <x:formula>0</x:formula>
    </x:cfRule>
  </x:conditionalFormatting>
  <x:conditionalFormatting sqref="D36:O36">
    <x:cfRule type="cellIs" dxfId="15" priority="15" operator="greaterThan">
      <x:formula>0</x:formula>
    </x:cfRule>
    <x:cfRule type="cellIs" dxfId="16" priority="16" operator="lessThan">
      <x:formula>0</x:formula>
    </x:cfRule>
  </x:conditionalFormatting>
  <x:conditionalFormatting sqref="D37:O37">
    <x:cfRule type="cellIs" dxfId="17" priority="17" operator="greaterThan">
      <x:formula>0</x:formula>
    </x:cfRule>
    <x:cfRule type="cellIs" dxfId="18" priority="18" operator="lessThan">
      <x:formula>0</x:formula>
    </x:cfRule>
  </x:conditionalFormatting>
  <x:conditionalFormatting sqref="D72:O72">
    <x:cfRule type="cellIs" dxfId="19" priority="19" operator="greaterThan">
      <x:formula>0</x:formula>
    </x:cfRule>
    <x:cfRule type="cellIs" dxfId="20" priority="20" operator="lessThan">
      <x:formula>0</x:formula>
    </x:cfRule>
  </x:conditionalFormatting>
  <x:conditionalFormatting sqref="D73:O73">
    <x:cfRule type="cellIs" dxfId="21" priority="21" operator="greaterThan">
      <x:formula>0</x:formula>
    </x:cfRule>
    <x:cfRule type="cellIs" dxfId="22" priority="22" operator="lessThan">
      <x:formula>0</x:formula>
    </x:cfRule>
  </x:conditionalFormatting>
  <x:conditionalFormatting sqref="D74:O74">
    <x:cfRule type="cellIs" dxfId="23" priority="23" operator="greaterThan">
      <x:formula>0</x:formula>
    </x:cfRule>
    <x:cfRule type="cellIs" dxfId="24" priority="24" operator="lessThan">
      <x:formula>0</x:formula>
    </x:cfRule>
  </x:conditionalFormatting>
  <x:conditionalFormatting sqref="D76:O76">
    <x:cfRule type="cellIs" dxfId="25" priority="25" operator="greaterThan">
      <x:formula>0</x:formula>
    </x:cfRule>
    <x:cfRule type="cellIs" dxfId="26" priority="26" operator="lessThan">
      <x:formula>0</x:formula>
    </x:cfRule>
  </x:conditionalFormatting>
  <x:conditionalFormatting sqref="D86:O86">
    <x:cfRule type="cellIs" dxfId="27" priority="27" operator="greaterThan">
      <x:formula>0</x:formula>
    </x:cfRule>
    <x:cfRule type="cellIs" dxfId="28" priority="28" operator="lessThan">
      <x:formula>0</x:formula>
    </x:cfRule>
  </x:conditionalFormatting>
  <x:conditionalFormatting sqref="D87:O87">
    <x:cfRule type="cellIs" dxfId="29" priority="29" operator="greaterThan">
      <x:formula>0</x:formula>
    </x:cfRule>
    <x:cfRule type="cellIs" dxfId="30" priority="30" operator="lessThan">
      <x:formula>0</x:formula>
    </x:cfRule>
  </x:conditionalFormatting>
  <x:conditionalFormatting sqref="D92:O92">
    <x:cfRule type="cellIs" dxfId="31" priority="31" operator="greaterThan">
      <x:formula>0</x:formula>
    </x:cfRule>
    <x:cfRule type="cellIs" dxfId="32" priority="32" operator="lessThan">
      <x:formula>0</x:formula>
    </x:cfRule>
  </x:conditionalFormatting>
  <x:conditionalFormatting sqref="D93:O93">
    <x:cfRule type="cellIs" dxfId="33" priority="33" operator="greaterThan">
      <x:formula>0</x:formula>
    </x:cfRule>
    <x:cfRule type="cellIs" dxfId="34" priority="34" operator="lessThan">
      <x:formula>0</x:formula>
    </x:cfRule>
  </x:conditionalFormatting>
  <x:conditionalFormatting sqref="D94:O94">
    <x:cfRule type="cellIs" dxfId="35" priority="35" operator="greaterThan">
      <x:formula>0</x:formula>
    </x:cfRule>
    <x:cfRule type="cellIs" dxfId="36" priority="36" operator="lessThan">
      <x:formula>0</x:formula>
    </x:cfRule>
  </x:conditionalFormatting>
  <x:conditionalFormatting sqref="D95:O95">
    <x:cfRule type="cellIs" dxfId="37" priority="37" operator="greaterThan">
      <x:formula>0</x:formula>
    </x:cfRule>
    <x:cfRule type="cellIs" dxfId="38" priority="38" operator="lessThan">
      <x:formula>0</x:formula>
    </x:cfRule>
  </x:conditionalFormatting>
  <x:conditionalFormatting sqref="D133:O133">
    <x:cfRule type="cellIs" dxfId="39" priority="39" operator="greaterThan">
      <x:formula>0</x:formula>
    </x:cfRule>
    <x:cfRule type="cellIs" dxfId="40" priority="40" operator="lessThan">
      <x:formula>0</x:formula>
    </x:cfRule>
  </x:conditionalFormatting>
  <x:conditionalFormatting sqref="D134:O134">
    <x:cfRule type="cellIs" dxfId="41" priority="41" operator="greaterThan">
      <x:formula>0</x:formula>
    </x:cfRule>
    <x:cfRule type="cellIs" dxfId="42" priority="42" operator="lessThan">
      <x:formula>0</x:formula>
    </x:cfRule>
  </x:conditionalFormatting>
  <x:conditionalFormatting sqref="D135:O135">
    <x:cfRule type="cellIs" dxfId="43" priority="43" operator="greaterThan">
      <x:formula>0</x:formula>
    </x:cfRule>
    <x:cfRule type="cellIs" dxfId="44" priority="44" operator="lessThan">
      <x:formula>0</x:formula>
    </x:cfRule>
  </x:conditionalFormatting>
  <x:conditionalFormatting sqref="D136:O136">
    <x:cfRule type="cellIs" dxfId="45" priority="45" operator="greaterThan">
      <x:formula>0</x:formula>
    </x:cfRule>
    <x:cfRule type="cellIs" dxfId="46" priority="46" operator="lessThan">
      <x:formula>0</x:formula>
    </x:cfRule>
  </x:conditionalFormatting>
  <x:conditionalFormatting sqref="D32:O32">
    <x:cfRule type="cellIs" dxfId="47" priority="47" operator="greaterThan">
      <x:formula>0</x:formula>
    </x:cfRule>
    <x:cfRule type="cellIs" dxfId="48" priority="48" operator="lessThan">
      <x:formula>0</x:formula>
    </x:cfRule>
  </x:conditionalFormatting>
  <x:conditionalFormatting sqref="D33:O33">
    <x:cfRule type="cellIs" dxfId="49" priority="49" operator="greaterThan">
      <x:formula>0</x:formula>
    </x:cfRule>
    <x:cfRule type="cellIs" dxfId="50" priority="50" operator="lessThan">
      <x:formula>0</x:formula>
    </x:cfRule>
  </x:conditionalFormatting>
  <x:conditionalFormatting sqref="D41:O41">
    <x:cfRule type="cellIs" dxfId="51" priority="51" operator="greaterThan">
      <x:formula>0</x:formula>
    </x:cfRule>
    <x:cfRule type="cellIs" dxfId="52" priority="52" operator="lessThan">
      <x:formula>0</x:formula>
    </x:cfRule>
  </x:conditionalFormatting>
  <x:conditionalFormatting sqref="D42:O42">
    <x:cfRule type="cellIs" dxfId="53" priority="53" operator="greaterThan">
      <x:formula>0</x:formula>
    </x:cfRule>
    <x:cfRule type="cellIs" dxfId="54" priority="54" operator="lessThan">
      <x:formula>0</x:formula>
    </x:cfRule>
  </x:conditionalFormatting>
  <x:conditionalFormatting sqref="D43:O43">
    <x:cfRule type="cellIs" dxfId="55" priority="55" operator="greaterThan">
      <x:formula>0</x:formula>
    </x:cfRule>
    <x:cfRule type="cellIs" dxfId="56" priority="56" operator="lessThan">
      <x:formula>0</x:formula>
    </x:cfRule>
  </x:conditionalFormatting>
  <x:conditionalFormatting sqref="D44:O44">
    <x:cfRule type="cellIs" dxfId="57" priority="57" operator="greaterThan">
      <x:formula>0</x:formula>
    </x:cfRule>
    <x:cfRule type="cellIs" dxfId="58" priority="58" operator="lessThan">
      <x:formula>0</x:formula>
    </x:cfRule>
  </x:conditionalFormatting>
  <x:conditionalFormatting sqref="D45:O45">
    <x:cfRule type="cellIs" dxfId="59" priority="59" operator="greaterThan">
      <x:formula>0</x:formula>
    </x:cfRule>
    <x:cfRule type="cellIs" dxfId="60" priority="60" operator="lessThan">
      <x:formula>0</x:formula>
    </x:cfRule>
  </x:conditionalFormatting>
  <x:conditionalFormatting sqref="D46:O46">
    <x:cfRule type="cellIs" dxfId="61" priority="61" operator="greaterThan">
      <x:formula>0</x:formula>
    </x:cfRule>
    <x:cfRule type="cellIs" dxfId="62" priority="62" operator="lessThan">
      <x:formula>0</x:formula>
    </x:cfRule>
  </x:conditionalFormatting>
  <x:conditionalFormatting sqref="D47:O47">
    <x:cfRule type="cellIs" dxfId="63" priority="63" operator="greaterThan">
      <x:formula>0</x:formula>
    </x:cfRule>
    <x:cfRule type="cellIs" dxfId="64" priority="64" operator="lessThan">
      <x:formula>0</x:formula>
    </x:cfRule>
  </x:conditionalFormatting>
  <x:conditionalFormatting sqref="D48:O48">
    <x:cfRule type="cellIs" dxfId="65" priority="65" operator="greaterThan">
      <x:formula>0</x:formula>
    </x:cfRule>
    <x:cfRule type="cellIs" dxfId="66" priority="66" operator="lessThan">
      <x:formula>0</x:formula>
    </x:cfRule>
  </x:conditionalFormatting>
  <x:conditionalFormatting sqref="D52:O52">
    <x:cfRule type="cellIs" dxfId="67" priority="67" operator="greaterThan">
      <x:formula>0</x:formula>
    </x:cfRule>
    <x:cfRule type="cellIs" dxfId="68" priority="68" operator="lessThan">
      <x:formula>0</x:formula>
    </x:cfRule>
  </x:conditionalFormatting>
  <x:conditionalFormatting sqref="D54:O54">
    <x:cfRule type="cellIs" dxfId="69" priority="69" operator="greaterThan">
      <x:formula>0</x:formula>
    </x:cfRule>
    <x:cfRule type="cellIs" dxfId="70" priority="70" operator="lessThan">
      <x:formula>0</x:formula>
    </x:cfRule>
  </x:conditionalFormatting>
  <x:conditionalFormatting sqref="D55:O55">
    <x:cfRule type="cellIs" dxfId="71" priority="71" operator="greaterThan">
      <x:formula>0</x:formula>
    </x:cfRule>
    <x:cfRule type="cellIs" dxfId="72" priority="72" operator="lessThan">
      <x:formula>0</x:formula>
    </x:cfRule>
  </x:conditionalFormatting>
  <x:conditionalFormatting sqref="D56:O56">
    <x:cfRule type="cellIs" dxfId="73" priority="73" operator="greaterThan">
      <x:formula>0</x:formula>
    </x:cfRule>
    <x:cfRule type="cellIs" dxfId="74" priority="74" operator="lessThan">
      <x:formula>0</x:formula>
    </x:cfRule>
  </x:conditionalFormatting>
  <x:conditionalFormatting sqref="D58:O58">
    <x:cfRule type="cellIs" dxfId="75" priority="75" operator="greaterThan">
      <x:formula>0</x:formula>
    </x:cfRule>
    <x:cfRule type="cellIs" dxfId="76" priority="76" operator="lessThan">
      <x:formula>0</x:formula>
    </x:cfRule>
  </x:conditionalFormatting>
  <x:conditionalFormatting sqref="D59:O59">
    <x:cfRule type="cellIs" dxfId="77" priority="77" operator="greaterThan">
      <x:formula>0</x:formula>
    </x:cfRule>
    <x:cfRule type="cellIs" dxfId="78" priority="78" operator="lessThan">
      <x:formula>0</x:formula>
    </x:cfRule>
  </x:conditionalFormatting>
  <x:conditionalFormatting sqref="D60:O60">
    <x:cfRule type="cellIs" dxfId="79" priority="79" operator="greaterThan">
      <x:formula>0</x:formula>
    </x:cfRule>
    <x:cfRule type="cellIs" dxfId="80" priority="80" operator="lessThan">
      <x:formula>0</x:formula>
    </x:cfRule>
  </x:conditionalFormatting>
  <x:conditionalFormatting sqref="D51:O51">
    <x:cfRule type="cellIs" dxfId="81" priority="81" operator="greaterThan">
      <x:formula>0</x:formula>
    </x:cfRule>
    <x:cfRule type="cellIs" dxfId="82" priority="82" operator="lessThan">
      <x:formula>0</x:formula>
    </x:cfRule>
  </x:conditionalFormatting>
  <x:conditionalFormatting sqref="D49:O49">
    <x:cfRule type="cellIs" dxfId="83" priority="83" operator="greaterThan">
      <x:formula>0</x:formula>
    </x:cfRule>
    <x:cfRule type="cellIs" dxfId="84" priority="84" operator="lessThan">
      <x:formula>0</x:formula>
    </x:cfRule>
  </x:conditionalFormatting>
  <x:conditionalFormatting sqref="D50:O50">
    <x:cfRule type="cellIs" dxfId="85" priority="85" operator="greaterThan">
      <x:formula>0</x:formula>
    </x:cfRule>
    <x:cfRule type="cellIs" dxfId="86" priority="86" operator="lessThan">
      <x:formula>0</x:formula>
    </x:cfRule>
  </x:conditionalFormatting>
  <x:conditionalFormatting sqref="D68:O68">
    <x:cfRule type="cellIs" dxfId="87" priority="87" operator="greaterThan">
      <x:formula>0</x:formula>
    </x:cfRule>
    <x:cfRule type="cellIs" dxfId="88" priority="88" operator="lessThan">
      <x:formula>0</x:formula>
    </x:cfRule>
  </x:conditionalFormatting>
  <x:conditionalFormatting sqref="D71:O71">
    <x:cfRule type="cellIs" dxfId="89" priority="89" operator="greaterThan">
      <x:formula>0</x:formula>
    </x:cfRule>
    <x:cfRule type="cellIs" dxfId="90" priority="90" operator="lessThan">
      <x:formula>0</x:formula>
    </x:cfRule>
  </x:conditionalFormatting>
  <x:conditionalFormatting sqref="D75:O75">
    <x:cfRule type="cellIs" dxfId="91" priority="91" operator="greaterThan">
      <x:formula>0</x:formula>
    </x:cfRule>
    <x:cfRule type="cellIs" dxfId="92" priority="92" operator="lessThan">
      <x:formula>0</x:formula>
    </x:cfRule>
  </x:conditionalFormatting>
  <x:conditionalFormatting sqref="D77:O77">
    <x:cfRule type="cellIs" dxfId="93" priority="93" operator="greaterThan">
      <x:formula>0</x:formula>
    </x:cfRule>
    <x:cfRule type="cellIs" dxfId="94" priority="94" operator="lessThan">
      <x:formula>0</x:formula>
    </x:cfRule>
  </x:conditionalFormatting>
  <x:conditionalFormatting sqref="D91:O91">
    <x:cfRule type="cellIs" dxfId="95" priority="95" operator="greaterThan">
      <x:formula>0</x:formula>
    </x:cfRule>
    <x:cfRule type="cellIs" dxfId="96" priority="96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070D4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</x:row>
    <x:row r="2" ht="22" customHeight="1">
      <x:c r="C2" s="81" t="str">
        <x:v>Capital cohorts and conditional share releases</x:v>
      </x:c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 ht="22" customHeight="1"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</x:row>
    <x:row r="4" ht="22" customHeight="1">
      <x:c r="C4" s="84" t="str">
        <x:v>Case selected</x:v>
      </x:c>
      <x:c r="D4" s="106" t="str">
        <x:f>Assumptions!$E$4</x:f>
        <x:v>Base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ht="22" customHeight="1">
      <x:c r="C5" s="87" t="str">
        <x:v>USD M; shares M; per-share USD</x:v>
      </x:c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</x:row>
    <x:row r="6" ht="22" customHeight="1">
      <x:c r="C6" s="107"/>
      <x:c r="D6" s="107" t="str">
        <x:v>Q3:26</x:v>
      </x:c>
      <x:c r="E6" s="107" t="str">
        <x:v>Q4:26</x:v>
      </x:c>
      <x:c r="F6" s="107" t="str">
        <x:v>Q1:27</x:v>
      </x:c>
      <x:c r="G6" s="107" t="str">
        <x:v>Q2:27</x:v>
      </x:c>
      <x:c r="H6" s="107" t="str">
        <x:v>Q3:27</x:v>
      </x:c>
      <x:c r="I6" s="107" t="str">
        <x:v>Q4:27</x:v>
      </x:c>
      <x:c r="J6" s="107" t="str">
        <x:v>Q1:28</x:v>
      </x:c>
      <x:c r="K6" s="107" t="str">
        <x:v>Q2:28</x:v>
      </x:c>
      <x:c r="L6" s="107" t="str">
        <x:v>H2:28</x:v>
      </x:c>
      <x:c r="M6" s="107" t="str">
        <x:v>FY:29</x:v>
      </x:c>
      <x:c r="N6" s="107" t="str">
        <x:v>FY:30</x:v>
      </x:c>
      <x:c r="O6" s="107" t="str">
        <x:v>FY:31</x:v>
      </x:c>
    </x:row>
    <x:row r="7" ht="22" customHeight="1">
      <x:c r="C7" s="69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</x:row>
    <x:row r="8" ht="24" customHeight="1">
      <x:c r="C8" s="122" t="str">
        <x:v>Existing intangible amortization</x:v>
      </x:c>
      <x:c r="D8" s="124"/>
      <x:c r="E8" s="124"/>
      <x:c r="F8" s="124"/>
      <x:c r="G8" s="124"/>
      <x:c r="H8" s="124"/>
      <x:c r="I8" s="124"/>
      <x:c r="J8" s="124"/>
      <x:c r="K8" s="124"/>
      <x:c r="L8" s="124"/>
      <x:c r="M8" s="124"/>
      <x:c r="N8" s="124"/>
      <x:c r="O8" s="124"/>
    </x:row>
    <x:row r="9" ht="22" customHeight="1">
      <x:c r="C9" s="84" t="str">
        <x:v>Disclosed annual runoff / 2031 analyst allocation</x:v>
      </x:c>
      <x:c r="D9" s="95" t="n">
        <x:v>61.462</x:v>
      </x:c>
      <x:c r="E9" s="95" t="n">
        <x:v>61.462</x:v>
      </x:c>
      <x:c r="F9" s="95" t="n">
        <x:v>84.382</x:v>
      </x:c>
      <x:c r="G9" s="95" t="n">
        <x:v>84.382</x:v>
      </x:c>
      <x:c r="H9" s="95" t="n">
        <x:v>84.382</x:v>
      </x:c>
      <x:c r="I9" s="95" t="n">
        <x:v>84.382</x:v>
      </x:c>
      <x:c r="J9" s="95" t="n">
        <x:v>16.197</x:v>
      </x:c>
      <x:c r="K9" s="95" t="n">
        <x:v>16.197</x:v>
      </x:c>
      <x:c r="L9" s="95" t="n">
        <x:v>16.197</x:v>
      </x:c>
      <x:c r="M9" s="95" t="n">
        <x:v>1.663</x:v>
      </x:c>
      <x:c r="N9" s="95" t="n">
        <x:v>1.663</x:v>
      </x:c>
      <x:c r="O9" s="95" t="n">
        <x:v>1.663</x:v>
      </x:c>
    </x:row>
    <x:row r="10" ht="22" customHeight="1">
      <x:c r="C10" s="84" t="str">
        <x:v>Share of annual source period</x:v>
      </x:c>
      <x:c r="D10" s="95" t="n">
        <x:v>0.5</x:v>
      </x:c>
      <x:c r="E10" s="95" t="n">
        <x:v>0.5</x:v>
      </x:c>
      <x:c r="F10" s="95" t="n">
        <x:v>0.2465753424657534</x:v>
      </x:c>
      <x:c r="G10" s="95" t="n">
        <x:v>0.2493150684931507</x:v>
      </x:c>
      <x:c r="H10" s="95" t="n">
        <x:v>0.25205479452054796</x:v>
      </x:c>
      <x:c r="I10" s="95" t="n">
        <x:v>0.25205479452054796</x:v>
      </x:c>
      <x:c r="J10" s="95" t="n">
        <x:v>0.24863387978142076</x:v>
      </x:c>
      <x:c r="K10" s="95" t="n">
        <x:v>0.24863387978142076</x:v>
      </x:c>
      <x:c r="L10" s="95" t="n">
        <x:v>0.5027322404371585</x:v>
      </x:c>
      <x:c r="M10" s="95" t="n">
        <x:v>1</x:v>
      </x:c>
      <x:c r="N10" s="95" t="n">
        <x:v>1</x:v>
      </x:c>
      <x:c r="O10" s="95" t="n">
        <x:v>1</x:v>
      </x:c>
    </x:row>
    <x:row r="11" ht="22" customHeight="1">
      <x:c r="C11" s="84" t="str">
        <x:v>Existing amortization</x:v>
      </x:c>
      <x:c r="D11" s="95" t="n">
        <x:f>D9*D10</x:f>
        <x:v>30.731</x:v>
      </x:c>
      <x:c r="E11" s="95" t="n">
        <x:f>E9*E10</x:f>
        <x:v>30.731</x:v>
      </x:c>
      <x:c r="F11" s="95" t="n">
        <x:f>F9*F10</x:f>
        <x:v>20.806520547945205</x:v>
      </x:c>
      <x:c r="G11" s="95" t="n">
        <x:f>G9*G10</x:f>
        <x:v>21.037704109589043</x:v>
      </x:c>
      <x:c r="H11" s="95" t="n">
        <x:f>H9*H10</x:f>
        <x:v>21.26888767123288</x:v>
      </x:c>
      <x:c r="I11" s="95" t="n">
        <x:f>I9*I10</x:f>
        <x:v>21.26888767123288</x:v>
      </x:c>
      <x:c r="J11" s="95" t="n">
        <x:f>J9*J10</x:f>
        <x:v>4.027122950819672</x:v>
      </x:c>
      <x:c r="K11" s="95" t="n">
        <x:f>K9*K10</x:f>
        <x:v>4.027122950819672</x:v>
      </x:c>
      <x:c r="L11" s="95" t="n">
        <x:f>L9*L10</x:f>
        <x:v>8.142754098360655</x:v>
      </x:c>
      <x:c r="M11" s="95" t="n">
        <x:f>M9*M10</x:f>
        <x:v>1.663</x:v>
      </x:c>
      <x:c r="N11" s="95" t="n">
        <x:f>N9*N10</x:f>
        <x:v>1.663</x:v>
      </x:c>
      <x:c r="O11" s="95" t="n">
        <x:f>O9*O10</x:f>
        <x:v>1.663</x:v>
      </x:c>
    </x:row>
    <x:row r="12" ht="22" customHeight="1">
      <x:c r="C12" s="69"/>
      <x:c r="D12" s="73"/>
      <x:c r="E12" s="73"/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</x:row>
    <x:row r="13" ht="22" customHeight="1">
      <x:c r="C13" s="69"/>
      <x:c r="D13" s="73"/>
      <x:c r="E13" s="73"/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</x:row>
    <x:row r="14" ht="22" customHeight="1">
      <x:c r="C14" s="84" t="str">
        <x:v>New software cost, cash plus capitalized SBC</x:v>
      </x:c>
      <x:c r="D14" s="95" t="n">
        <x:f>Model!D49+Model!D48</x:f>
        <x:v>29.654315549078152</x:v>
      </x:c>
      <x:c r="E14" s="95" t="n">
        <x:f>Model!E49+Model!E48</x:f>
        <x:v>30.353892239023796</x:v>
      </x:c>
      <x:c r="F14" s="95" t="n">
        <x:f>Model!F49+Model!F48</x:f>
        <x:v>30.232175908450564</x:v>
      </x:c>
      <x:c r="G14" s="95" t="n">
        <x:f>Model!G49+Model!G48</x:f>
        <x:v>31.63254466401451</x:v>
      </x:c>
      <x:c r="H14" s="95" t="n">
        <x:f>Model!H49+Model!H48</x:f>
        <x:v>33.1360325155223</x:v>
      </x:c>
      <x:c r="I14" s="95" t="n">
        <x:f>Model!I49+Model!I48</x:f>
        <x:v>34.371221140096615</x:v>
      </x:c>
      <x:c r="J14" s="95" t="n">
        <x:f>Model!J49+Model!J48</x:f>
        <x:v>35.63229392663892</x:v>
      </x:c>
      <x:c r="K14" s="95" t="n">
        <x:f>Model!K49+Model!K48</x:f>
        <x:v>36.71280929354812</x:v>
      </x:c>
      <x:c r="L14" s="95" t="n">
        <x:f>Model!L49+Model!L48</x:f>
        <x:v>77.80248522858713</x:v>
      </x:c>
      <x:c r="M14" s="95" t="n">
        <x:f>Model!M49+Model!M48</x:f>
        <x:v>172.79975755373636</x:v>
      </x:c>
      <x:c r="N14" s="95" t="n">
        <x:f>Model!N49+Model!N48</x:f>
        <x:v>193.91895659799786</x:v>
      </x:c>
      <x:c r="O14" s="95" t="n">
        <x:f>Model!O49+Model!O48</x:f>
        <x:v>216.32785370965004</x:v>
      </x:c>
    </x:row>
    <x:row r="15" ht="22" customHeight="1">
      <x:c r="C15" s="84" t="str">
        <x:v>New asset mid-period service start, years</x:v>
      </x:c>
      <x:c r="D15" s="95" t="n">
        <x:f>(Model!D10+Model!D11)/2</x:f>
        <x:v>0.12602739726027398</x:v>
      </x:c>
      <x:c r="E15" s="95" t="n">
        <x:f>(Model!E10+Model!E11)/2</x:f>
        <x:v>0.3780821917808219</x:v>
      </x:c>
      <x:c r="F15" s="95" t="n">
        <x:f>(Model!F10+Model!F11)/2</x:f>
        <x:v>0.6273972602739726</x:v>
      </x:c>
      <x:c r="G15" s="95" t="n">
        <x:f>(Model!G10+Model!G11)/2</x:f>
        <x:v>0.8753424657534247</x:v>
      </x:c>
      <x:c r="H15" s="95" t="n">
        <x:f>(Model!H10+Model!H11)/2</x:f>
        <x:v>1.1260273972602741</x:v>
      </x:c>
      <x:c r="I15" s="95" t="n">
        <x:f>(Model!I10+Model!I11)/2</x:f>
        <x:v>1.378082191780822</x:v>
      </x:c>
      <x:c r="J15" s="95" t="n">
        <x:f>(Model!J10+Model!J11)/2</x:f>
        <x:v>1.6287671232876715</x:v>
      </x:c>
      <x:c r="K15" s="95" t="n">
        <x:f>(Model!K10+Model!K11)/2</x:f>
        <x:v>1.878082191780822</x:v>
      </x:c>
      <x:c r="L15" s="95" t="n">
        <x:f>(Model!L10+Model!L11)/2</x:f>
        <x:v>2.2547945205479456</x:v>
      </x:c>
      <x:c r="M15" s="95" t="n">
        <x:f>(Model!M10+Model!M11)/2</x:f>
        <x:v>3.0068493150684934</x:v>
      </x:c>
      <x:c r="N15" s="95" t="n">
        <x:f>(Model!N10+Model!N11)/2</x:f>
        <x:v>4.006849315068493</x:v>
      </x:c>
      <x:c r="O15" s="95" t="n">
        <x:f>(Model!O10+Model!O11)/2</x:f>
        <x:v>5.006849315068493</x:v>
      </x:c>
    </x:row>
    <x:row r="16" ht="22" customHeight="1">
      <x:c r="C16" s="69"/>
      <x:c r="D16" s="73"/>
      <x:c r="E16" s="73"/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</x:row>
    <x:row r="17" ht="24" customHeight="1">
      <x:c r="C17" s="122" t="str">
        <x:v>Software amortization by investment cohort</x:v>
      </x:c>
      <x:c r="D17" s="124"/>
      <x:c r="E17" s="124"/>
      <x:c r="F17" s="124"/>
      <x:c r="G17" s="124"/>
      <x:c r="H17" s="124"/>
      <x:c r="I17" s="124"/>
      <x:c r="J17" s="124"/>
      <x:c r="K17" s="124"/>
      <x:c r="L17" s="124"/>
      <x:c r="M17" s="124"/>
      <x:c r="N17" s="124"/>
      <x:c r="O17" s="124"/>
    </x:row>
    <x:row r="18" ht="22" customHeight="1">
      <x:c r="C18" s="69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</x:row>
    <x:row r="19" ht="22" customHeight="1">
      <x:c r="C19" s="84" t="str">
        <x:v>Q3:26 software</x:v>
      </x:c>
      <x:c r="D19" s="95" t="n">
        <x:f>$D$14*(MAX(0,MIN(Model!D11-$D$15,Sources!$D$82))-MAX(0,MIN(Model!D10-$D$15,Sources!$D$82)))/Sources!$D$82</x:f>
        <x:v>1.2457520687283974</x:v>
      </x:c>
      <x:c r="E19" s="95" t="n">
        <x:f>$D$14*(MAX(0,MIN(Model!E11-$D$15,Sources!$D$82))-MAX(0,MIN(Model!E10-$D$15,Sources!$D$82)))/Sources!$D$82</x:f>
        <x:v>2.491504137456794</x:v>
      </x:c>
      <x:c r="F19" s="95" t="n">
        <x:f>$D$14*(MAX(0,MIN(Model!F11-$D$15,Sources!$D$82))-MAX(0,MIN(Model!F10-$D$15,Sources!$D$82)))/Sources!$D$82</x:f>
        <x:v>2.437341004033821</x:v>
      </x:c>
      <x:c r="G19" s="95" t="n">
        <x:f>$D$14*(MAX(0,MIN(Model!G11-$D$15,Sources!$D$82))-MAX(0,MIN(Model!G10-$D$15,Sources!$D$82)))/Sources!$D$82</x:f>
        <x:v>2.4644225707453074</x:v>
      </x:c>
      <x:c r="H19" s="95" t="n">
        <x:f>$D$14*(MAX(0,MIN(Model!H11-$D$15,Sources!$D$82))-MAX(0,MIN(Model!H10-$D$15,Sources!$D$82)))/Sources!$D$82</x:f>
        <x:v>2.4915041374567966</x:v>
      </x:c>
      <x:c r="I19" s="95" t="n">
        <x:f>$D$14*(MAX(0,MIN(Model!I11-$D$15,Sources!$D$82))-MAX(0,MIN(Model!I10-$D$15,Sources!$D$82)))/Sources!$D$82</x:f>
        <x:v>2.491504137456795</x:v>
      </x:c>
      <x:c r="J19" s="95" t="n">
        <x:f>$D$14*(MAX(0,MIN(Model!J11-$D$15,Sources!$D$82))-MAX(0,MIN(Model!J10-$D$15,Sources!$D$82)))/Sources!$D$82</x:f>
        <x:v>2.4644225707453074</x:v>
      </x:c>
      <x:c r="K19" s="95" t="n">
        <x:f>$D$14*(MAX(0,MIN(Model!K11-$D$15,Sources!$D$82))-MAX(0,MIN(Model!K10-$D$15,Sources!$D$82)))/Sources!$D$82</x:f>
        <x:v>2.4644225707453074</x:v>
      </x:c>
      <x:c r="L19" s="95" t="n">
        <x:f>$D$14*(MAX(0,MIN(Model!L11-$D$15,Sources!$D$82))-MAX(0,MIN(Model!L10-$D$15,Sources!$D$82)))/Sources!$D$82</x:f>
        <x:v>4.983008274913588</x:v>
      </x:c>
      <x:c r="M19" s="95" t="n">
        <x:f>$D$14*(MAX(0,MIN(Model!M11-$D$15,Sources!$D$82))-MAX(0,MIN(Model!M10-$D$15,Sources!$D$82)))/Sources!$D$82</x:f>
        <x:v>6.1204340767960375</x:v>
      </x:c>
      <x:c r="N19" s="95" t="n">
        <x:f>$D$14*(MAX(0,MIN(Model!N11-$D$15,Sources!$D$82))-MAX(0,MIN(Model!N10-$D$15,Sources!$D$82)))/Sources!$D$82</x:f>
        <x:v>0</x:v>
      </x:c>
      <x:c r="O19" s="95" t="n">
        <x:f>$D$14*(MAX(0,MIN(Model!O11-$D$15,Sources!$D$82))-MAX(0,MIN(Model!O10-$D$15,Sources!$D$82)))/Sources!$D$82</x:f>
        <x:v>0</x:v>
      </x:c>
    </x:row>
    <x:row r="20" ht="22" customHeight="1">
      <x:c r="C20" s="84" t="str">
        <x:v>Q4:26 software</x:v>
      </x:c>
      <x:c r="D20" s="95" t="n">
        <x:f>0</x:f>
        <x:v>0</x:v>
      </x:c>
      <x:c r="E20" s="95" t="n">
        <x:f>$E$14*(MAX(0,MIN(Model!E11-$E$15,Sources!$D$82))-MAX(0,MIN(Model!E10-$E$15,Sources!$D$82)))/Sources!$D$82</x:f>
        <x:v>1.2751406785343333</x:v>
      </x:c>
      <x:c r="F20" s="95" t="n">
        <x:f>$E$14*(MAX(0,MIN(Model!F11-$E$15,Sources!$D$82))-MAX(0,MIN(Model!F10-$E$15,Sources!$D$82)))/Sources!$D$82</x:f>
        <x:v>2.494840458001956</x:v>
      </x:c>
      <x:c r="G20" s="95" t="n">
        <x:f>$E$14*(MAX(0,MIN(Model!G11-$E$15,Sources!$D$82))-MAX(0,MIN(Model!G10-$E$15,Sources!$D$82)))/Sources!$D$82</x:f>
        <x:v>2.522560907535311</x:v>
      </x:c>
      <x:c r="H20" s="95" t="n">
        <x:f>$E$14*(MAX(0,MIN(Model!H11-$E$15,Sources!$D$82))-MAX(0,MIN(Model!H10-$E$15,Sources!$D$82)))/Sources!$D$82</x:f>
        <x:v>2.5502813570686667</x:v>
      </x:c>
      <x:c r="I20" s="95" t="n">
        <x:f>$E$14*(MAX(0,MIN(Model!I11-$E$15,Sources!$D$82))-MAX(0,MIN(Model!I10-$E$15,Sources!$D$82)))/Sources!$D$82</x:f>
        <x:v>2.5502813570686667</x:v>
      </x:c>
      <x:c r="J20" s="95" t="n">
        <x:f>$E$14*(MAX(0,MIN(Model!J11-$E$15,Sources!$D$82))-MAX(0,MIN(Model!J10-$E$15,Sources!$D$82)))/Sources!$D$82</x:f>
        <x:v>2.522560907535311</x:v>
      </x:c>
      <x:c r="K20" s="95" t="n">
        <x:f>$E$14*(MAX(0,MIN(Model!K11-$E$15,Sources!$D$82))-MAX(0,MIN(Model!K10-$E$15,Sources!$D$82)))/Sources!$D$82</x:f>
        <x:v>2.522560907535311</x:v>
      </x:c>
      <x:c r="L20" s="95" t="n">
        <x:f>$E$14*(MAX(0,MIN(Model!L11-$E$15,Sources!$D$82))-MAX(0,MIN(Model!L10-$E$15,Sources!$D$82)))/Sources!$D$82</x:f>
        <x:v>5.100562714137333</x:v>
      </x:c>
      <x:c r="M20" s="95" t="n">
        <x:f>$E$14*(MAX(0,MIN(Model!M11-$E$15,Sources!$D$82))-MAX(0,MIN(Model!M10-$E$15,Sources!$D$82)))/Sources!$D$82</x:f>
        <x:v>8.815102951606908</x:v>
      </x:c>
      <x:c r="N20" s="95" t="n">
        <x:f>$E$14*(MAX(0,MIN(Model!N11-$E$15,Sources!$D$82))-MAX(0,MIN(Model!N10-$E$15,Sources!$D$82)))/Sources!$D$82</x:f>
        <x:v>0</x:v>
      </x:c>
      <x:c r="O20" s="95" t="n">
        <x:f>$E$14*(MAX(0,MIN(Model!O11-$E$15,Sources!$D$82))-MAX(0,MIN(Model!O10-$E$15,Sources!$D$82)))/Sources!$D$82</x:f>
        <x:v>0</x:v>
      </x:c>
    </x:row>
    <x:row r="21" ht="22" customHeight="1">
      <x:c r="C21" s="84" t="str">
        <x:v>Q1:27 software</x:v>
      </x:c>
      <x:c r="D21" s="95" t="n">
        <x:f>0</x:f>
        <x:v>0</x:v>
      </x:c>
      <x:c r="E21" s="95" t="n">
        <x:f>0</x:f>
        <x:v>0</x:v>
      </x:c>
      <x:c r="F21" s="95" t="n">
        <x:f>$F$14*(MAX(0,MIN(Model!F11-$F$15,Sources!$D$82))-MAX(0,MIN(Model!F10-$F$15,Sources!$D$82)))/Sources!$D$82</x:f>
        <x:v>1.2424181880185168</x:v>
      </x:c>
      <x:c r="G21" s="95" t="n">
        <x:f>$F$14*(MAX(0,MIN(Model!G11-$F$15,Sources!$D$82))-MAX(0,MIN(Model!G10-$F$15,Sources!$D$82)))/Sources!$D$82</x:f>
        <x:v>2.512445669104111</x:v>
      </x:c>
      <x:c r="H21" s="95" t="n">
        <x:f>$F$14*(MAX(0,MIN(Model!H11-$F$15,Sources!$D$82))-MAX(0,MIN(Model!H10-$F$15,Sources!$D$82)))/Sources!$D$82</x:f>
        <x:v>2.54005496217119</x:v>
      </x:c>
      <x:c r="I21" s="95" t="n">
        <x:f>$F$14*(MAX(0,MIN(Model!I11-$F$15,Sources!$D$82))-MAX(0,MIN(Model!I10-$F$15,Sources!$D$82)))/Sources!$D$82</x:f>
        <x:v>2.54005496217119</x:v>
      </x:c>
      <x:c r="J21" s="95" t="n">
        <x:f>$F$14*(MAX(0,MIN(Model!J11-$F$15,Sources!$D$82))-MAX(0,MIN(Model!J10-$F$15,Sources!$D$82)))/Sources!$D$82</x:f>
        <x:v>2.512445669104111</x:v>
      </x:c>
      <x:c r="K21" s="95" t="n">
        <x:f>$F$14*(MAX(0,MIN(Model!K11-$F$15,Sources!$D$82))-MAX(0,MIN(Model!K10-$F$15,Sources!$D$82)))/Sources!$D$82</x:f>
        <x:v>2.512445669104111</x:v>
      </x:c>
      <x:c r="L21" s="95" t="n">
        <x:f>$F$14*(MAX(0,MIN(Model!L11-$F$15,Sources!$D$82))-MAX(0,MIN(Model!L10-$F$15,Sources!$D$82)))/Sources!$D$82</x:f>
        <x:v>5.08010992434238</x:v>
      </x:c>
      <x:c r="M21" s="95" t="n">
        <x:f>$F$14*(MAX(0,MIN(Model!M11-$F$15,Sources!$D$82))-MAX(0,MIN(Model!M10-$F$15,Sources!$D$82)))/Sources!$D$82</x:f>
        <x:v>10.07739196948352</x:v>
      </x:c>
      <x:c r="N21" s="95" t="n">
        <x:f>$F$14*(MAX(0,MIN(Model!N11-$F$15,Sources!$D$82))-MAX(0,MIN(Model!N10-$F$15,Sources!$D$82)))/Sources!$D$82</x:f>
        <x:v>1.2148088949514377</x:v>
      </x:c>
      <x:c r="O21" s="95" t="n">
        <x:f>$F$14*(MAX(0,MIN(Model!O11-$F$15,Sources!$D$82))-MAX(0,MIN(Model!O10-$F$15,Sources!$D$82)))/Sources!$D$82</x:f>
        <x:v>0</x:v>
      </x:c>
    </x:row>
    <x:row r="22" ht="22" customHeight="1">
      <x:c r="C22" s="84" t="str">
        <x:v>Q2:27 software</x:v>
      </x:c>
      <x:c r="D22" s="95" t="n">
        <x:f>0</x:f>
        <x:v>0</x:v>
      </x:c>
      <x:c r="E22" s="95" t="n">
        <x:f>0</x:f>
        <x:v>0</x:v>
      </x:c>
      <x:c r="F22" s="95" t="n">
        <x:f>0</x:f>
        <x:v>0</x:v>
      </x:c>
      <x:c r="G22" s="95" t="n">
        <x:f>$G$14*(MAX(0,MIN(Model!G11-$G$15,Sources!$D$82))-MAX(0,MIN(Model!G10-$G$15,Sources!$D$82)))/Sources!$D$82</x:f>
        <x:v>1.314411673253571</x:v>
      </x:c>
      <x:c r="H22" s="95" t="n">
        <x:f>$G$14*(MAX(0,MIN(Model!H11-$G$15,Sources!$D$82))-MAX(0,MIN(Model!H10-$G$15,Sources!$D$82)))/Sources!$D$82</x:f>
        <x:v>2.6577115151500785</x:v>
      </x:c>
      <x:c r="I22" s="95" t="n">
        <x:f>$G$14*(MAX(0,MIN(Model!I11-$G$15,Sources!$D$82))-MAX(0,MIN(Model!I10-$G$15,Sources!$D$82)))/Sources!$D$82</x:f>
        <x:v>2.6577115151500785</x:v>
      </x:c>
      <x:c r="J22" s="95" t="n">
        <x:f>$G$14*(MAX(0,MIN(Model!J11-$G$15,Sources!$D$82))-MAX(0,MIN(Model!J10-$G$15,Sources!$D$82)))/Sources!$D$82</x:f>
        <x:v>2.628823346507142</x:v>
      </x:c>
      <x:c r="K22" s="95" t="n">
        <x:f>$G$14*(MAX(0,MIN(Model!K11-$G$15,Sources!$D$82))-MAX(0,MIN(Model!K10-$G$15,Sources!$D$82)))/Sources!$D$82</x:f>
        <x:v>2.628823346507143</x:v>
      </x:c>
      <x:c r="L22" s="95" t="n">
        <x:f>$G$14*(MAX(0,MIN(Model!L11-$G$15,Sources!$D$82))-MAX(0,MIN(Model!L10-$G$15,Sources!$D$82)))/Sources!$D$82</x:f>
        <x:v>5.315423030300157</x:v>
      </x:c>
      <x:c r="M22" s="95" t="n">
        <x:f>$G$14*(MAX(0,MIN(Model!M11-$G$15,Sources!$D$82))-MAX(0,MIN(Model!M10-$G$15,Sources!$D$82)))/Sources!$D$82</x:f>
        <x:v>10.544181554671503</x:v>
      </x:c>
      <x:c r="N22" s="95" t="n">
        <x:f>$G$14*(MAX(0,MIN(Model!N11-$G$15,Sources!$D$82))-MAX(0,MIN(Model!N10-$G$15,Sources!$D$82)))/Sources!$D$82</x:f>
        <x:v>3.885458682474838</x:v>
      </x:c>
      <x:c r="O22" s="95" t="n">
        <x:f>$G$14*(MAX(0,MIN(Model!O11-$G$15,Sources!$D$82))-MAX(0,MIN(Model!O10-$G$15,Sources!$D$82)))/Sources!$D$82</x:f>
        <x:v>0</x:v>
      </x:c>
    </x:row>
    <x:row r="23" ht="22" customHeight="1">
      <x:c r="C23" s="84" t="str">
        <x:v>Q3:27 software</x:v>
      </x:c>
      <x:c r="D23" s="95" t="n">
        <x:f>0</x:f>
        <x:v>0</x:v>
      </x:c>
      <x:c r="E23" s="95" t="n">
        <x:f>0</x:f>
        <x:v>0</x:v>
      </x:c>
      <x:c r="F23" s="95" t="n">
        <x:f>0</x:f>
        <x:v>0</x:v>
      </x:c>
      <x:c r="G23" s="95" t="n">
        <x:f>0</x:f>
        <x:v>0</x:v>
      </x:c>
      <x:c r="H23" s="95" t="n">
        <x:f>$H$14*(MAX(0,MIN(Model!H11-$H$15,Sources!$D$82))-MAX(0,MIN(Model!H10-$H$15,Sources!$D$82)))/Sources!$D$82</x:f>
        <x:v>1.3920159778210275</x:v>
      </x:c>
      <x:c r="I23" s="95" t="n">
        <x:f>$H$14*(MAX(0,MIN(Model!I11-$H$15,Sources!$D$82))-MAX(0,MIN(Model!I10-$H$15,Sources!$D$82)))/Sources!$D$82</x:f>
        <x:v>2.784031955642057</x:v>
      </x:c>
      <x:c r="J23" s="95" t="n">
        <x:f>$H$14*(MAX(0,MIN(Model!J11-$H$15,Sources!$D$82))-MAX(0,MIN(Model!J10-$H$15,Sources!$D$82)))/Sources!$D$82</x:f>
        <x:v>2.7537707387329036</x:v>
      </x:c>
      <x:c r="K23" s="95" t="n">
        <x:f>$H$14*(MAX(0,MIN(Model!K11-$H$15,Sources!$D$82))-MAX(0,MIN(Model!K10-$H$15,Sources!$D$82)))/Sources!$D$82</x:f>
        <x:v>2.7537707387329036</x:v>
      </x:c>
      <x:c r="L23" s="95" t="n">
        <x:f>$H$14*(MAX(0,MIN(Model!L11-$H$15,Sources!$D$82))-MAX(0,MIN(Model!L10-$H$15,Sources!$D$82)))/Sources!$D$82</x:f>
        <x:v>5.568063911284114</x:v>
      </x:c>
      <x:c r="M23" s="95" t="n">
        <x:f>$H$14*(MAX(0,MIN(Model!M11-$H$15,Sources!$D$82))-MAX(0,MIN(Model!M10-$H$15,Sources!$D$82)))/Sources!$D$82</x:f>
        <x:v>11.045344171840767</x:v>
      </x:c>
      <x:c r="N23" s="95" t="n">
        <x:f>$H$14*(MAX(0,MIN(Model!N11-$H$15,Sources!$D$82))-MAX(0,MIN(Model!N10-$H$15,Sources!$D$82)))/Sources!$D$82</x:f>
        <x:v>6.839035021468529</x:v>
      </x:c>
      <x:c r="O23" s="95" t="n">
        <x:f>$H$14*(MAX(0,MIN(Model!O11-$H$15,Sources!$D$82))-MAX(0,MIN(Model!O10-$H$15,Sources!$D$82)))/Sources!$D$82</x:f>
        <x:v>0</x:v>
      </x:c>
    </x:row>
    <x:row r="24" ht="22" customHeight="1">
      <x:c r="C24" s="84" t="str">
        <x:v>Q4:27 software</x:v>
      </x:c>
      <x:c r="D24" s="95" t="n">
        <x:f>0</x:f>
        <x:v>0</x:v>
      </x:c>
      <x:c r="E24" s="95" t="n">
        <x:f>0</x:f>
        <x:v>0</x:v>
      </x:c>
      <x:c r="F24" s="95" t="n">
        <x:f>0</x:f>
        <x:v>0</x:v>
      </x:c>
      <x:c r="G24" s="95" t="n">
        <x:f>0</x:f>
        <x:v>0</x:v>
      </x:c>
      <x:c r="H24" s="95" t="n">
        <x:f>0</x:f>
        <x:v>0</x:v>
      </x:c>
      <x:c r="I24" s="95" t="n">
        <x:f>$I$14*(MAX(0,MIN(Model!I11-$I$15,Sources!$D$82))-MAX(0,MIN(Model!I10-$I$15,Sources!$D$82)))/Sources!$D$82</x:f>
        <x:v>1.4439051803145626</x:v>
      </x:c>
      <x:c r="J24" s="95" t="n">
        <x:f>$I$14*(MAX(0,MIN(Model!J11-$I$15,Sources!$D$82))-MAX(0,MIN(Model!J10-$I$15,Sources!$D$82)))/Sources!$D$82</x:f>
        <x:v>2.856421117578805</x:v>
      </x:c>
      <x:c r="K24" s="95" t="n">
        <x:f>$I$14*(MAX(0,MIN(Model!K11-$I$15,Sources!$D$82))-MAX(0,MIN(Model!K10-$I$15,Sources!$D$82)))/Sources!$D$82</x:f>
        <x:v>2.856421117578805</x:v>
      </x:c>
      <x:c r="L24" s="95" t="n">
        <x:f>$I$14*(MAX(0,MIN(Model!L11-$I$15,Sources!$D$82))-MAX(0,MIN(Model!L10-$I$15,Sources!$D$82)))/Sources!$D$82</x:f>
        <x:v>5.775620721258246</x:v>
      </x:c>
      <x:c r="M24" s="95" t="n">
        <x:f>$I$14*(MAX(0,MIN(Model!M11-$I$15,Sources!$D$82))-MAX(0,MIN(Model!M10-$I$15,Sources!$D$82)))/Sources!$D$82</x:f>
        <x:v>11.457073713365538</x:v>
      </x:c>
      <x:c r="N24" s="95" t="n">
        <x:f>$I$14*(MAX(0,MIN(Model!N11-$I$15,Sources!$D$82))-MAX(0,MIN(Model!N10-$I$15,Sources!$D$82)))/Sources!$D$82</x:f>
        <x:v>9.981779290000658</x:v>
      </x:c>
      <x:c r="O24" s="95" t="n">
        <x:f>$I$14*(MAX(0,MIN(Model!O11-$I$15,Sources!$D$82))-MAX(0,MIN(Model!O10-$I$15,Sources!$D$82)))/Sources!$D$82</x:f>
        <x:v>0</x:v>
      </x:c>
    </x:row>
    <x:row r="25" ht="22" customHeight="1">
      <x:c r="C25" s="84" t="str">
        <x:v>Q1:28 software</x:v>
      </x:c>
      <x:c r="D25" s="95" t="n">
        <x:f>0</x:f>
        <x:v>0</x:v>
      </x:c>
      <x:c r="E25" s="95" t="n">
        <x:f>0</x:f>
        <x:v>0</x:v>
      </x:c>
      <x:c r="F25" s="95" t="n">
        <x:f>0</x:f>
        <x:v>0</x:v>
      </x:c>
      <x:c r="G25" s="95" t="n">
        <x:f>0</x:f>
        <x:v>0</x:v>
      </x:c>
      <x:c r="H25" s="95" t="n">
        <x:f>0</x:f>
        <x:v>0</x:v>
      </x:c>
      <x:c r="I25" s="95" t="n">
        <x:f>0</x:f>
        <x:v>0</x:v>
      </x:c>
      <x:c r="J25" s="95" t="n">
        <x:f>$J$14*(MAX(0,MIN(Model!J11-$J$15,Sources!$D$82))-MAX(0,MIN(Model!J10-$J$15,Sources!$D$82)))/Sources!$D$82</x:f>
        <x:v>1.4806113001480086</x:v>
      </x:c>
      <x:c r="K25" s="95" t="n">
        <x:f>$J$14*(MAX(0,MIN(Model!K11-$J$15,Sources!$D$82))-MAX(0,MIN(Model!K10-$J$15,Sources!$D$82)))/Sources!$D$82</x:f>
        <x:v>2.96122260029602</x:v>
      </x:c>
      <x:c r="L25" s="95" t="n">
        <x:f>$J$14*(MAX(0,MIN(Model!L11-$J$15,Sources!$D$82))-MAX(0,MIN(Model!L10-$J$15,Sources!$D$82)))/Sources!$D$82</x:f>
        <x:v>5.987527015983162</x:v>
      </x:c>
      <x:c r="M25" s="95" t="n">
        <x:f>$J$14*(MAX(0,MIN(Model!M11-$J$15,Sources!$D$82))-MAX(0,MIN(Model!M10-$J$15,Sources!$D$82)))/Sources!$D$82</x:f>
        <x:v>11.877431308879641</x:v>
      </x:c>
      <x:c r="N25" s="95" t="n">
        <x:f>$J$14*(MAX(0,MIN(Model!N11-$J$15,Sources!$D$82))-MAX(0,MIN(Model!N10-$J$15,Sources!$D$82)))/Sources!$D$82</x:f>
        <x:v>11.877431308879636</x:v>
      </x:c>
      <x:c r="O25" s="95" t="n">
        <x:f>$J$14*(MAX(0,MIN(Model!O11-$J$15,Sources!$D$82))-MAX(0,MIN(Model!O10-$J$15,Sources!$D$82)))/Sources!$D$82</x:f>
        <x:v>1.4480703924524547</x:v>
      </x:c>
    </x:row>
    <x:row r="26" ht="22" customHeight="1">
      <x:c r="C26" s="84" t="str">
        <x:v>Q2:28 software</x:v>
      </x:c>
      <x:c r="D26" s="95" t="n">
        <x:f>0</x:f>
        <x:v>0</x:v>
      </x:c>
      <x:c r="E26" s="95" t="n">
        <x:f>0</x:f>
        <x:v>0</x:v>
      </x:c>
      <x:c r="F26" s="95" t="n">
        <x:f>0</x:f>
        <x:v>0</x:v>
      </x:c>
      <x:c r="G26" s="95" t="n">
        <x:f>0</x:f>
        <x:v>0</x:v>
      </x:c>
      <x:c r="H26" s="95" t="n">
        <x:f>0</x:f>
        <x:v>0</x:v>
      </x:c>
      <x:c r="I26" s="95" t="n">
        <x:f>0</x:f>
        <x:v>0</x:v>
      </x:c>
      <x:c r="J26" s="95" t="n">
        <x:f>0</x:f>
        <x:v>0</x:v>
      </x:c>
      <x:c r="K26" s="95" t="n">
        <x:f>$K$14*(MAX(0,MIN(Model!K11-$K$15,Sources!$D$82))-MAX(0,MIN(Model!K10-$K$15,Sources!$D$82)))/Sources!$D$82</x:f>
        <x:v>1.525509427266156</x:v>
      </x:c>
      <x:c r="L26" s="95" t="n">
        <x:f>$K$14*(MAX(0,MIN(Model!L11-$K$15,Sources!$D$82))-MAX(0,MIN(Model!L10-$K$15,Sources!$D$82)))/Sources!$D$82</x:f>
        <x:v>6.169093068504892</x:v>
      </x:c>
      <x:c r="M26" s="95" t="n">
        <x:f>$K$14*(MAX(0,MIN(Model!M11-$K$15,Sources!$D$82))-MAX(0,MIN(Model!M10-$K$15,Sources!$D$82)))/Sources!$D$82</x:f>
        <x:v>12.237603097849373</x:v>
      </x:c>
      <x:c r="N26" s="95" t="n">
        <x:f>$K$14*(MAX(0,MIN(Model!N11-$K$15,Sources!$D$82))-MAX(0,MIN(Model!N10-$K$15,Sources!$D$82)))/Sources!$D$82</x:f>
        <x:v>12.237603097849368</x:v>
      </x:c>
      <x:c r="O26" s="95" t="n">
        <x:f>$K$14*(MAX(0,MIN(Model!O11-$K$15,Sources!$D$82))-MAX(0,MIN(Model!O10-$K$15,Sources!$D$82)))/Sources!$D$82</x:f>
        <x:v>4.543000602078331</x:v>
      </x:c>
    </x:row>
    <x:row r="27" ht="22" customHeight="1">
      <x:c r="C27" s="84" t="str">
        <x:v>H2:28 software</x:v>
      </x:c>
      <x:c r="D27" s="95" t="n">
        <x:f>0</x:f>
        <x:v>0</x:v>
      </x:c>
      <x:c r="E27" s="95" t="n">
        <x:f>0</x:f>
        <x:v>0</x:v>
      </x:c>
      <x:c r="F27" s="95" t="n">
        <x:f>0</x:f>
        <x:v>0</x:v>
      </x:c>
      <x:c r="G27" s="95" t="n">
        <x:f>0</x:f>
        <x:v>0</x:v>
      </x:c>
      <x:c r="H27" s="95" t="n">
        <x:f>0</x:f>
        <x:v>0</x:v>
      </x:c>
      <x:c r="I27" s="95" t="n">
        <x:f>0</x:f>
        <x:v>0</x:v>
      </x:c>
      <x:c r="J27" s="95" t="n">
        <x:f>0</x:f>
        <x:v>0</x:v>
      </x:c>
      <x:c r="K27" s="95" t="n">
        <x:f>0</x:f>
        <x:v>0</x:v>
      </x:c>
      <x:c r="L27" s="95" t="n">
        <x:f>$L$14*(MAX(0,MIN(Model!L11-$L$15,Sources!$D$82))-MAX(0,MIN(Model!L10-$L$15,Sources!$D$82)))/Sources!$D$82</x:f>
        <x:v>6.536829809159829</x:v>
      </x:c>
      <x:c r="M27" s="95" t="n">
        <x:f>$L$14*(MAX(0,MIN(Model!M11-$L$15,Sources!$D$82))-MAX(0,MIN(Model!M10-$L$15,Sources!$D$82)))/Sources!$D$82</x:f>
        <x:v>25.934161742862376</x:v>
      </x:c>
      <x:c r="N27" s="95" t="n">
        <x:f>$L$14*(MAX(0,MIN(Model!N11-$L$15,Sources!$D$82))-MAX(0,MIN(Model!N10-$L$15,Sources!$D$82)))/Sources!$D$82</x:f>
        <x:v>25.93416174286237</x:v>
      </x:c>
      <x:c r="O27" s="95" t="n">
        <x:f>$L$14*(MAX(0,MIN(Model!O11-$L$15,Sources!$D$82))-MAX(0,MIN(Model!O10-$L$15,Sources!$D$82)))/Sources!$D$82</x:f>
        <x:v>19.39733193370256</x:v>
      </x:c>
    </x:row>
    <x:row r="28" ht="22" customHeight="1">
      <x:c r="C28" s="84" t="str">
        <x:v>FY:29 software</x:v>
      </x:c>
      <x:c r="D28" s="95" t="n">
        <x:f>0</x:f>
        <x:v>0</x:v>
      </x:c>
      <x:c r="E28" s="95" t="n">
        <x:f>0</x:f>
        <x:v>0</x:v>
      </x:c>
      <x:c r="F28" s="95" t="n">
        <x:f>0</x:f>
        <x:v>0</x:v>
      </x:c>
      <x:c r="G28" s="95" t="n">
        <x:f>0</x:f>
        <x:v>0</x:v>
      </x:c>
      <x:c r="H28" s="95" t="n">
        <x:f>0</x:f>
        <x:v>0</x:v>
      </x:c>
      <x:c r="I28" s="95" t="n">
        <x:f>0</x:f>
        <x:v>0</x:v>
      </x:c>
      <x:c r="J28" s="95" t="n">
        <x:f>0</x:f>
        <x:v>0</x:v>
      </x:c>
      <x:c r="K28" s="95" t="n">
        <x:f>0</x:f>
        <x:v>0</x:v>
      </x:c>
      <x:c r="L28" s="95" t="n">
        <x:f>0</x:f>
        <x:v>0</x:v>
      </x:c>
      <x:c r="M28" s="95" t="n">
        <x:f>$M$14*(MAX(0,MIN(Model!M11-$M$15,Sources!$D$82))-MAX(0,MIN(Model!M10-$M$15,Sources!$D$82)))/Sources!$D$82</x:f>
        <x:v>28.799959592289394</x:v>
      </x:c>
      <x:c r="N28" s="95" t="n">
        <x:f>$M$14*(MAX(0,MIN(Model!N11-$M$15,Sources!$D$82))-MAX(0,MIN(Model!N10-$M$15,Sources!$D$82)))/Sources!$D$82</x:f>
        <x:v>57.59991918457876</x:v>
      </x:c>
      <x:c r="O28" s="95" t="n">
        <x:f>$M$14*(MAX(0,MIN(Model!O11-$M$15,Sources!$D$82))-MAX(0,MIN(Model!O10-$M$15,Sources!$D$82)))/Sources!$D$82</x:f>
        <x:v>57.59991918457879</x:v>
      </x:c>
    </x:row>
    <x:row r="29" ht="22" customHeight="1">
      <x:c r="C29" s="84" t="str">
        <x:v>FY:30 software</x:v>
      </x:c>
      <x:c r="D29" s="95" t="n">
        <x:f>0</x:f>
        <x:v>0</x:v>
      </x:c>
      <x:c r="E29" s="95" t="n">
        <x:f>0</x:f>
        <x:v>0</x:v>
      </x:c>
      <x:c r="F29" s="95" t="n">
        <x:f>0</x:f>
        <x:v>0</x:v>
      </x:c>
      <x:c r="G29" s="95" t="n">
        <x:f>0</x:f>
        <x:v>0</x:v>
      </x:c>
      <x:c r="H29" s="95" t="n">
        <x:f>0</x:f>
        <x:v>0</x:v>
      </x:c>
      <x:c r="I29" s="95" t="n">
        <x:f>0</x:f>
        <x:v>0</x:v>
      </x:c>
      <x:c r="J29" s="95" t="n">
        <x:f>0</x:f>
        <x:v>0</x:v>
      </x:c>
      <x:c r="K29" s="95" t="n">
        <x:f>0</x:f>
        <x:v>0</x:v>
      </x:c>
      <x:c r="L29" s="95" t="n">
        <x:f>0</x:f>
        <x:v>0</x:v>
      </x:c>
      <x:c r="M29" s="95" t="n">
        <x:f>0</x:f>
        <x:v>0</x:v>
      </x:c>
      <x:c r="N29" s="95" t="n">
        <x:f>$N$14*(MAX(0,MIN(Model!N11-$N$15,Sources!$D$82))-MAX(0,MIN(Model!N10-$N$15,Sources!$D$82)))/Sources!$D$82</x:f>
        <x:v>32.31982609966631</x:v>
      </x:c>
      <x:c r="O29" s="95" t="n">
        <x:f>$N$14*(MAX(0,MIN(Model!O11-$N$15,Sources!$D$82))-MAX(0,MIN(Model!O10-$N$15,Sources!$D$82)))/Sources!$D$82</x:f>
        <x:v>64.63965219933262</x:v>
      </x:c>
    </x:row>
    <x:row r="30" ht="22" customHeight="1">
      <x:c r="C30" s="84" t="str">
        <x:v>FY:31 software</x:v>
      </x:c>
      <x:c r="D30" s="95" t="n">
        <x:f>0</x:f>
        <x:v>0</x:v>
      </x:c>
      <x:c r="E30" s="95" t="n">
        <x:f>0</x:f>
        <x:v>0</x:v>
      </x:c>
      <x:c r="F30" s="95" t="n">
        <x:f>0</x:f>
        <x:v>0</x:v>
      </x:c>
      <x:c r="G30" s="95" t="n">
        <x:f>0</x:f>
        <x:v>0</x:v>
      </x:c>
      <x:c r="H30" s="95" t="n">
        <x:f>0</x:f>
        <x:v>0</x:v>
      </x:c>
      <x:c r="I30" s="95" t="n">
        <x:f>0</x:f>
        <x:v>0</x:v>
      </x:c>
      <x:c r="J30" s="95" t="n">
        <x:f>0</x:f>
        <x:v>0</x:v>
      </x:c>
      <x:c r="K30" s="95" t="n">
        <x:f>0</x:f>
        <x:v>0</x:v>
      </x:c>
      <x:c r="L30" s="95" t="n">
        <x:f>0</x:f>
        <x:v>0</x:v>
      </x:c>
      <x:c r="M30" s="95" t="n">
        <x:f>0</x:f>
        <x:v>0</x:v>
      </x:c>
      <x:c r="N30" s="95" t="n">
        <x:f>0</x:f>
        <x:v>0</x:v>
      </x:c>
      <x:c r="O30" s="95" t="n">
        <x:f>$O$14*(MAX(0,MIN(Model!O11-$O$15,Sources!$D$82))-MAX(0,MIN(Model!O10-$O$15,Sources!$D$82)))/Sources!$D$82</x:f>
        <x:v>36.05464228494167</x:v>
      </x:c>
    </x:row>
    <x:row r="31" ht="22" customHeight="1">
      <x:c r="C31" s="69"/>
      <x:c r="D31" s="73"/>
      <x:c r="E31" s="73"/>
      <x:c r="F31" s="73"/>
      <x:c r="G31" s="73"/>
      <x:c r="H31" s="73"/>
      <x:c r="I31" s="73"/>
      <x:c r="J31" s="73"/>
      <x:c r="K31" s="73"/>
      <x:c r="L31" s="73"/>
      <x:c r="M31" s="73"/>
      <x:c r="N31" s="73"/>
      <x:c r="O31" s="73"/>
    </x:row>
    <x:row r="32" ht="22" customHeight="1">
      <x:c r="C32" s="84" t="str">
        <x:v>New software amortization total</x:v>
      </x:c>
      <x:c r="D32" s="95" t="n">
        <x:f>SUM(D19:D30)</x:f>
        <x:v>1.2457520687283974</x:v>
      </x:c>
      <x:c r="E32" s="95" t="n">
        <x:f>SUM(E19:E30)</x:f>
        <x:v>3.7666448159911274</x:v>
      </x:c>
      <x:c r="F32" s="95" t="n">
        <x:f>SUM(F19:F30)</x:f>
        <x:v>6.174599650054294</x:v>
      </x:c>
      <x:c r="G32" s="95" t="n">
        <x:f>SUM(G19:G30)</x:f>
        <x:v>8.813840820638301</x:v>
      </x:c>
      <x:c r="H32" s="95" t="n">
        <x:f>SUM(H19:H30)</x:f>
        <x:v>11.631567949667758</x:v>
      </x:c>
      <x:c r="I32" s="95" t="n">
        <x:f>SUM(I19:I30)</x:f>
        <x:v>14.467489107803349</x:v>
      </x:c>
      <x:c r="J32" s="95" t="n">
        <x:f>SUM(J19:J30)</x:f>
        <x:v>17.21905565035159</x:v>
      </x:c>
      <x:c r="K32" s="95" t="n">
        <x:f>SUM(K19:K30)</x:f>
        <x:v>20.225176377765756</x:v>
      </x:c>
      <x:c r="L32" s="95" t="n">
        <x:f>SUM(L19:L30)</x:f>
        <x:v>50.516238469883696</x:v>
      </x:c>
      <x:c r="M32" s="95" t="n">
        <x:f>SUM(M19:M30)</x:f>
        <x:v>136.90868417964506</x:v>
      </x:c>
      <x:c r="N32" s="95" t="n">
        <x:f>SUM(N19:N30)</x:f>
        <x:v>161.8900233227319</x:v>
      </x:c>
      <x:c r="O32" s="95" t="n">
        <x:f>SUM(O19:O30)</x:f>
        <x:v>183.68261659708645</x:v>
      </x:c>
    </x:row>
    <x:row r="33" ht="22" customHeight="1">
      <x:c r="C33" s="69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</x:row>
    <x:row r="34" ht="22" customHeight="1">
      <x:c r="C34" s="69"/>
      <x:c r="D34" s="73"/>
      <x:c r="E34" s="73"/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</x:row>
    <x:row r="35" ht="22" customHeight="1">
      <x:c r="C35" s="69"/>
      <x:c r="D35" s="73"/>
      <x:c r="E35" s="73"/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</x:row>
    <x:row r="36" ht="22" customHeight="1">
      <x:c r="C36" s="69"/>
      <x:c r="D36" s="73"/>
      <x:c r="E36" s="73"/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</x:row>
    <x:row r="37" ht="22" customHeight="1">
      <x:c r="C37" s="69"/>
      <x:c r="D37" s="73"/>
      <x:c r="E37" s="73"/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</x:row>
    <x:row r="38" ht="22" customHeight="1">
      <x:c r="C38" s="84" t="str">
        <x:v>New PPE cash investment</x:v>
      </x:c>
      <x:c r="D38" s="95" t="n">
        <x:f>Model!D50</x:f>
        <x:v>5.155418615673016</x:v>
      </x:c>
      <x:c r="E38" s="95" t="n">
        <x:f>Model!E50</x:f>
        <x:v>5.358521525657234</x:v>
      </x:c>
      <x:c r="F38" s="95" t="n">
        <x:f>Model!F50</x:f>
        <x:v>5.057866375476576</x:v>
      </x:c>
      <x:c r="G38" s="95" t="n">
        <x:f>Model!G50</x:f>
        <x:v>5.423100413638052</x:v>
      </x:c>
      <x:c r="H38" s="95" t="n">
        <x:f>Model!H50</x:f>
        <x:v>5.8182722538477405</x:v>
      </x:c>
      <x:c r="I38" s="95" t="n">
        <x:f>Model!I50</x:f>
        <x:v>6.176875402917702</x:v>
      </x:c>
      <x:c r="J38" s="95" t="n">
        <x:f>Model!J50</x:f>
        <x:v>6.052585224774536</x:v>
      </x:c>
      <x:c r="K38" s="95" t="n">
        <x:f>Model!K50</x:f>
        <x:v>6.3587312453988085</x:v>
      </x:c>
      <x:c r="L38" s="95" t="n">
        <x:f>Model!L50</x:f>
        <x:v>13.868712477583998</x:v>
      </x:c>
      <x:c r="M38" s="95" t="n">
        <x:f>Model!M50</x:f>
        <x:v>30.36093801915073</x:v>
      </x:c>
      <x:c r="N38" s="95" t="n">
        <x:f>Model!N50</x:f>
        <x:v>33.66267094717269</x:v>
      </x:c>
      <x:c r="O38" s="95" t="n">
        <x:f>Model!O50</x:f>
        <x:v>38.88524749641602</x:v>
      </x:c>
    </x:row>
    <x:row r="39" ht="22" customHeight="1">
      <x:c r="C39" s="69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</x:row>
    <x:row r="40" ht="22" customHeight="1">
      <x:c r="C40" s="69"/>
      <x:c r="D40" s="73"/>
      <x:c r="E40" s="73"/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</x:row>
    <x:row r="41" ht="24" customHeight="1">
      <x:c r="C41" s="122" t="str">
        <x:v>PPE depreciation by investment cohort</x:v>
      </x:c>
      <x:c r="D41" s="124"/>
      <x:c r="E41" s="124"/>
      <x:c r="F41" s="124"/>
      <x:c r="G41" s="124"/>
      <x:c r="H41" s="124"/>
      <x:c r="I41" s="124"/>
      <x:c r="J41" s="124"/>
      <x:c r="K41" s="124"/>
      <x:c r="L41" s="124"/>
      <x:c r="M41" s="124"/>
      <x:c r="N41" s="124"/>
      <x:c r="O41" s="124"/>
    </x:row>
    <x:row r="42" ht="22" customHeight="1">
      <x:c r="C42" s="69"/>
      <x:c r="D42" s="73"/>
      <x:c r="E42" s="73"/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</x:row>
    <x:row r="43" ht="22" customHeight="1">
      <x:c r="C43" s="84" t="str">
        <x:v>Q3:26 PPE</x:v>
      </x:c>
      <x:c r="D43" s="95" t="n">
        <x:f>$D$38*(MAX(0,MIN(Model!D11-$D$15,Sources!$D$83))-MAX(0,MIN(Model!D10-$D$15,Sources!$D$83)))/Sources!$D$83</x:f>
        <x:v>0.12994479798408698</x:v>
      </x:c>
      <x:c r="E43" s="95" t="n">
        <x:f>$D$38*(MAX(0,MIN(Model!E11-$D$15,Sources!$D$83))-MAX(0,MIN(Model!E10-$D$15,Sources!$D$83)))/Sources!$D$83</x:f>
        <x:v>0.2598895959681739</x:v>
      </x:c>
      <x:c r="F43" s="95" t="n">
        <x:f>$D$38*(MAX(0,MIN(Model!F11-$D$15,Sources!$D$83))-MAX(0,MIN(Model!F10-$D$15,Sources!$D$83)))/Sources!$D$83</x:f>
        <x:v>0.25423982214277885</x:v>
      </x:c>
      <x:c r="G43" s="95" t="n">
        <x:f>$D$38*(MAX(0,MIN(Model!G11-$D$15,Sources!$D$83))-MAX(0,MIN(Model!G10-$D$15,Sources!$D$83)))/Sources!$D$83</x:f>
        <x:v>0.2570647090554764</x:v>
      </x:c>
      <x:c r="H43" s="95" t="n">
        <x:f>$D$38*(MAX(0,MIN(Model!H11-$D$15,Sources!$D$83))-MAX(0,MIN(Model!H10-$D$15,Sources!$D$83)))/Sources!$D$83</x:f>
        <x:v>0.2598895959681741</x:v>
      </x:c>
      <x:c r="I43" s="95" t="n">
        <x:f>$D$38*(MAX(0,MIN(Model!I11-$D$15,Sources!$D$83))-MAX(0,MIN(Model!I10-$D$15,Sources!$D$83)))/Sources!$D$83</x:f>
        <x:v>0.259889595968174</x:v>
      </x:c>
      <x:c r="J43" s="95" t="n">
        <x:f>$D$38*(MAX(0,MIN(Model!J11-$D$15,Sources!$D$83))-MAX(0,MIN(Model!J10-$D$15,Sources!$D$83)))/Sources!$D$83</x:f>
        <x:v>0.2570647090554764</x:v>
      </x:c>
      <x:c r="K43" s="95" t="n">
        <x:f>$D$38*(MAX(0,MIN(Model!K11-$D$15,Sources!$D$83))-MAX(0,MIN(Model!K10-$D$15,Sources!$D$83)))/Sources!$D$83</x:f>
        <x:v>0.2570647090554764</x:v>
      </x:c>
      <x:c r="L43" s="95" t="n">
        <x:f>$D$38*(MAX(0,MIN(Model!L11-$D$15,Sources!$D$83))-MAX(0,MIN(Model!L10-$D$15,Sources!$D$83)))/Sources!$D$83</x:f>
        <x:v>0.5197791919363478</x:v>
      </x:c>
      <x:c r="M43" s="95" t="n">
        <x:f>$D$38*(MAX(0,MIN(Model!M11-$D$15,Sources!$D$83))-MAX(0,MIN(Model!M10-$D$15,Sources!$D$83)))/Sources!$D$83</x:f>
        <x:v>1.031083723134603</x:v>
      </x:c>
      <x:c r="N43" s="95" t="n">
        <x:f>$D$38*(MAX(0,MIN(Model!N11-$D$15,Sources!$D$83))-MAX(0,MIN(Model!N10-$D$15,Sources!$D$83)))/Sources!$D$83</x:f>
        <x:v>1.0310837231346026</x:v>
      </x:c>
      <x:c r="O43" s="95" t="n">
        <x:f>$D$38*(MAX(0,MIN(Model!O11-$D$15,Sources!$D$83))-MAX(0,MIN(Model!O10-$D$15,Sources!$D$83)))/Sources!$D$83</x:f>
        <x:v>0.638424442269645</x:v>
      </x:c>
    </x:row>
    <x:row r="44" ht="22" customHeight="1">
      <x:c r="C44" s="84" t="str">
        <x:v>Q4:26 PPE</x:v>
      </x:c>
      <x:c r="D44" s="95" t="n">
        <x:f>0</x:f>
        <x:v>0</x:v>
      </x:c>
      <x:c r="E44" s="95" t="n">
        <x:f>$E$38*(MAX(0,MIN(Model!E11-$E$15,Sources!$D$83))-MAX(0,MIN(Model!E10-$E$15,Sources!$D$83)))/Sources!$D$83</x:f>
        <x:v>0.13506410420834675</x:v>
      </x:c>
      <x:c r="F44" s="95" t="n">
        <x:f>$E$38*(MAX(0,MIN(Model!F11-$E$15,Sources!$D$83))-MAX(0,MIN(Model!F10-$E$15,Sources!$D$83)))/Sources!$D$83</x:f>
        <x:v>0.2642558560598088</x:v>
      </x:c>
      <x:c r="G44" s="95" t="n">
        <x:f>$E$38*(MAX(0,MIN(Model!G11-$E$15,Sources!$D$83))-MAX(0,MIN(Model!G10-$E$15,Sources!$D$83)))/Sources!$D$83</x:f>
        <x:v>0.2671920322382511</x:v>
      </x:c>
      <x:c r="H44" s="95" t="n">
        <x:f>$E$38*(MAX(0,MIN(Model!H11-$E$15,Sources!$D$83))-MAX(0,MIN(Model!H10-$E$15,Sources!$D$83)))/Sources!$D$83</x:f>
        <x:v>0.2701282084166935</x:v>
      </x:c>
      <x:c r="I44" s="95" t="n">
        <x:f>$E$38*(MAX(0,MIN(Model!I11-$E$15,Sources!$D$83))-MAX(0,MIN(Model!I10-$E$15,Sources!$D$83)))/Sources!$D$83</x:f>
        <x:v>0.2701282084166935</x:v>
      </x:c>
      <x:c r="J44" s="95" t="n">
        <x:f>$E$38*(MAX(0,MIN(Model!J11-$E$15,Sources!$D$83))-MAX(0,MIN(Model!J10-$E$15,Sources!$D$83)))/Sources!$D$83</x:f>
        <x:v>0.2671920322382511</x:v>
      </x:c>
      <x:c r="K44" s="95" t="n">
        <x:f>$E$38*(MAX(0,MIN(Model!K11-$E$15,Sources!$D$83))-MAX(0,MIN(Model!K10-$E$15,Sources!$D$83)))/Sources!$D$83</x:f>
        <x:v>0.2671920322382511</x:v>
      </x:c>
      <x:c r="L44" s="95" t="n">
        <x:f>$E$38*(MAX(0,MIN(Model!L11-$E$15,Sources!$D$83))-MAX(0,MIN(Model!L10-$E$15,Sources!$D$83)))/Sources!$D$83</x:f>
        <x:v>0.540256416833387</x:v>
      </x:c>
      <x:c r="M44" s="95" t="n">
        <x:f>$E$38*(MAX(0,MIN(Model!M11-$E$15,Sources!$D$83))-MAX(0,MIN(Model!M10-$E$15,Sources!$D$83)))/Sources!$D$83</x:f>
        <x:v>1.0717043051314468</x:v>
      </x:c>
      <x:c r="N44" s="95" t="n">
        <x:f>$E$38*(MAX(0,MIN(Model!N11-$E$15,Sources!$D$83))-MAX(0,MIN(Model!N10-$E$15,Sources!$D$83)))/Sources!$D$83</x:f>
        <x:v>1.0717043051314468</x:v>
      </x:c>
      <x:c r="O44" s="95" t="n">
        <x:f>$E$38*(MAX(0,MIN(Model!O11-$E$15,Sources!$D$83))-MAX(0,MIN(Model!O10-$E$15,Sources!$D$83)))/Sources!$D$83</x:f>
        <x:v>0.9337040247446575</x:v>
      </x:c>
    </x:row>
    <x:row r="45" ht="22" customHeight="1">
      <x:c r="C45" s="84" t="str">
        <x:v>Q1:27 PPE</x:v>
      </x:c>
      <x:c r="D45" s="95" t="n">
        <x:f>0</x:f>
        <x:v>0</x:v>
      </x:c>
      <x:c r="E45" s="95" t="n">
        <x:f>0</x:f>
        <x:v>0</x:v>
      </x:c>
      <x:c r="F45" s="95" t="n">
        <x:f>$F$38*(MAX(0,MIN(Model!F11-$F$15,Sources!$D$83))-MAX(0,MIN(Model!F10-$F$15,Sources!$D$83)))/Sources!$D$83</x:f>
        <x:v>0.12471451336791561</x:v>
      </x:c>
      <x:c r="G45" s="95" t="n">
        <x:f>$F$38*(MAX(0,MIN(Model!G11-$F$15,Sources!$D$83))-MAX(0,MIN(Model!G10-$F$15,Sources!$D$83)))/Sources!$D$83</x:f>
        <x:v>0.25220046036622923</x:v>
      </x:c>
      <x:c r="H45" s="95" t="n">
        <x:f>$F$38*(MAX(0,MIN(Model!H11-$F$15,Sources!$D$83))-MAX(0,MIN(Model!H10-$F$15,Sources!$D$83)))/Sources!$D$83</x:f>
        <x:v>0.25497189399662745</x:v>
      </x:c>
      <x:c r="I45" s="95" t="n">
        <x:f>$F$38*(MAX(0,MIN(Model!I11-$F$15,Sources!$D$83))-MAX(0,MIN(Model!I10-$F$15,Sources!$D$83)))/Sources!$D$83</x:f>
        <x:v>0.25497189399662745</x:v>
      </x:c>
      <x:c r="J45" s="95" t="n">
        <x:f>$F$38*(MAX(0,MIN(Model!J11-$F$15,Sources!$D$83))-MAX(0,MIN(Model!J10-$F$15,Sources!$D$83)))/Sources!$D$83</x:f>
        <x:v>0.25220046036622923</x:v>
      </x:c>
      <x:c r="K45" s="95" t="n">
        <x:f>$F$38*(MAX(0,MIN(Model!K11-$F$15,Sources!$D$83))-MAX(0,MIN(Model!K10-$F$15,Sources!$D$83)))/Sources!$D$83</x:f>
        <x:v>0.25220046036622923</x:v>
      </x:c>
      <x:c r="L45" s="95" t="n">
        <x:f>$F$38*(MAX(0,MIN(Model!L11-$F$15,Sources!$D$83))-MAX(0,MIN(Model!L10-$F$15,Sources!$D$83)))/Sources!$D$83</x:f>
        <x:v>0.5099437879932549</x:v>
      </x:c>
      <x:c r="M45" s="95" t="n">
        <x:f>$F$38*(MAX(0,MIN(Model!M11-$F$15,Sources!$D$83))-MAX(0,MIN(Model!M10-$F$15,Sources!$D$83)))/Sources!$D$83</x:f>
        <x:v>1.011573275095315</x:v>
      </x:c>
      <x:c r="N45" s="95" t="n">
        <x:f>$F$38*(MAX(0,MIN(Model!N11-$F$15,Sources!$D$83))-MAX(0,MIN(Model!N10-$F$15,Sources!$D$83)))/Sources!$D$83</x:f>
        <x:v>1.0115732750953152</x:v>
      </x:c>
      <x:c r="O45" s="95" t="n">
        <x:f>$F$38*(MAX(0,MIN(Model!O11-$F$15,Sources!$D$83))-MAX(0,MIN(Model!O10-$F$15,Sources!$D$83)))/Sources!$D$83</x:f>
        <x:v>1.0115732750953152</x:v>
      </x:c>
    </x:row>
    <x:row r="46" ht="22" customHeight="1">
      <x:c r="C46" s="84" t="str">
        <x:v>Q2:27 PPE</x:v>
      </x:c>
      <x:c r="D46" s="95" t="n">
        <x:f>0</x:f>
        <x:v>0</x:v>
      </x:c>
      <x:c r="E46" s="95" t="n">
        <x:f>0</x:f>
        <x:v>0</x:v>
      </x:c>
      <x:c r="F46" s="95" t="n">
        <x:f>0</x:f>
        <x:v>0</x:v>
      </x:c>
      <x:c r="G46" s="95" t="n">
        <x:f>$G$38*(MAX(0,MIN(Model!G11-$G$15,Sources!$D$83))-MAX(0,MIN(Model!G10-$G$15,Sources!$D$83)))/Sources!$D$83</x:f>
        <x:v>0.13520606510714045</x:v>
      </x:c>
      <x:c r="H46" s="95" t="n">
        <x:f>$G$38*(MAX(0,MIN(Model!H11-$G$15,Sources!$D$83))-MAX(0,MIN(Model!H10-$G$15,Sources!$D$83)))/Sources!$D$83</x:f>
        <x:v>0.2733836920847676</x:v>
      </x:c>
      <x:c r="I46" s="95" t="n">
        <x:f>$G$38*(MAX(0,MIN(Model!I11-$G$15,Sources!$D$83))-MAX(0,MIN(Model!I10-$G$15,Sources!$D$83)))/Sources!$D$83</x:f>
        <x:v>0.2733836920847676</x:v>
      </x:c>
      <x:c r="J46" s="95" t="n">
        <x:f>$G$38*(MAX(0,MIN(Model!J11-$G$15,Sources!$D$83))-MAX(0,MIN(Model!J10-$G$15,Sources!$D$83)))/Sources!$D$83</x:f>
        <x:v>0.2704121302142809</x:v>
      </x:c>
      <x:c r="K46" s="95" t="n">
        <x:f>$G$38*(MAX(0,MIN(Model!K11-$G$15,Sources!$D$83))-MAX(0,MIN(Model!K10-$G$15,Sources!$D$83)))/Sources!$D$83</x:f>
        <x:v>0.270412130214281</x:v>
      </x:c>
      <x:c r="L46" s="95" t="n">
        <x:f>$G$38*(MAX(0,MIN(Model!L11-$G$15,Sources!$D$83))-MAX(0,MIN(Model!L10-$G$15,Sources!$D$83)))/Sources!$D$83</x:f>
        <x:v>0.5467673841695352</x:v>
      </x:c>
      <x:c r="M46" s="95" t="n">
        <x:f>$G$38*(MAX(0,MIN(Model!M11-$G$15,Sources!$D$83))-MAX(0,MIN(Model!M10-$G$15,Sources!$D$83)))/Sources!$D$83</x:f>
        <x:v>1.0846200827276102</x:v>
      </x:c>
      <x:c r="N46" s="95" t="n">
        <x:f>$G$38*(MAX(0,MIN(Model!N11-$G$15,Sources!$D$83))-MAX(0,MIN(Model!N10-$G$15,Sources!$D$83)))/Sources!$D$83</x:f>
        <x:v>1.0846200827276098</x:v>
      </x:c>
      <x:c r="O46" s="95" t="n">
        <x:f>$G$38*(MAX(0,MIN(Model!O11-$G$15,Sources!$D$83))-MAX(0,MIN(Model!O10-$G$15,Sources!$D$83)))/Sources!$D$83</x:f>
        <x:v>1.0846200827276098</x:v>
      </x:c>
    </x:row>
    <x:row r="47" ht="22" customHeight="1">
      <x:c r="C47" s="84" t="str">
        <x:v>Q3:27 PPE</x:v>
      </x:c>
      <x:c r="D47" s="95" t="n">
        <x:f>0</x:f>
        <x:v>0</x:v>
      </x:c>
      <x:c r="E47" s="95" t="n">
        <x:f>0</x:f>
        <x:v>0</x:v>
      </x:c>
      <x:c r="F47" s="95" t="n">
        <x:f>0</x:f>
        <x:v>0</x:v>
      </x:c>
      <x:c r="G47" s="95" t="n">
        <x:f>0</x:f>
        <x:v>0</x:v>
      </x:c>
      <x:c r="H47" s="95" t="n">
        <x:f>$H$38*(MAX(0,MIN(Model!H11-$H$15,Sources!$D$83))-MAX(0,MIN(Model!H10-$H$15,Sources!$D$83)))/Sources!$D$83</x:f>
        <x:v>0.14665234174081967</x:v>
      </x:c>
      <x:c r="I47" s="95" t="n">
        <x:f>$H$38*(MAX(0,MIN(Model!I11-$H$15,Sources!$D$83))-MAX(0,MIN(Model!I10-$H$15,Sources!$D$83)))/Sources!$D$83</x:f>
        <x:v>0.2933046834816396</x:v>
      </x:c>
      <x:c r="J47" s="95" t="n">
        <x:f>$H$38*(MAX(0,MIN(Model!J11-$H$15,Sources!$D$83))-MAX(0,MIN(Model!J10-$H$15,Sources!$D$83)))/Sources!$D$83</x:f>
        <x:v>0.2901165890959695</x:v>
      </x:c>
      <x:c r="K47" s="95" t="n">
        <x:f>$H$38*(MAX(0,MIN(Model!K11-$H$15,Sources!$D$83))-MAX(0,MIN(Model!K10-$H$15,Sources!$D$83)))/Sources!$D$83</x:f>
        <x:v>0.2901165890959695</x:v>
      </x:c>
      <x:c r="L47" s="95" t="n">
        <x:f>$H$38*(MAX(0,MIN(Model!L11-$H$15,Sources!$D$83))-MAX(0,MIN(Model!L10-$H$15,Sources!$D$83)))/Sources!$D$83</x:f>
        <x:v>0.5866093669632793</x:v>
      </x:c>
      <x:c r="M47" s="95" t="n">
        <x:f>$H$38*(MAX(0,MIN(Model!M11-$H$15,Sources!$D$83))-MAX(0,MIN(Model!M10-$H$15,Sources!$D$83)))/Sources!$D$83</x:f>
        <x:v>1.163654450769548</x:v>
      </x:c>
      <x:c r="N47" s="95" t="n">
        <x:f>$H$38*(MAX(0,MIN(Model!N11-$H$15,Sources!$D$83))-MAX(0,MIN(Model!N10-$H$15,Sources!$D$83)))/Sources!$D$83</x:f>
        <x:v>1.1636544507695477</x:v>
      </x:c>
      <x:c r="O47" s="95" t="n">
        <x:f>$H$38*(MAX(0,MIN(Model!O11-$H$15,Sources!$D$83))-MAX(0,MIN(Model!O10-$H$15,Sources!$D$83)))/Sources!$D$83</x:f>
        <x:v>1.163654450769548</x:v>
      </x:c>
    </x:row>
    <x:row r="48" ht="22" customHeight="1">
      <x:c r="C48" s="84" t="str">
        <x:v>Q4:27 PPE</x:v>
      </x:c>
      <x:c r="D48" s="95" t="n">
        <x:f>0</x:f>
        <x:v>0</x:v>
      </x:c>
      <x:c r="E48" s="95" t="n">
        <x:f>0</x:f>
        <x:v>0</x:v>
      </x:c>
      <x:c r="F48" s="95" t="n">
        <x:f>0</x:f>
        <x:v>0</x:v>
      </x:c>
      <x:c r="G48" s="95" t="n">
        <x:f>0</x:f>
        <x:v>0</x:v>
      </x:c>
      <x:c r="H48" s="95" t="n">
        <x:f>0</x:f>
        <x:v>0</x:v>
      </x:c>
      <x:c r="I48" s="95" t="n">
        <x:f>$I$38*(MAX(0,MIN(Model!I11-$I$15,Sources!$D$83))-MAX(0,MIN(Model!I10-$I$15,Sources!$D$83)))/Sources!$D$83</x:f>
        <x:v>0.155691106046145</x:v>
      </x:c>
      <x:c r="J48" s="95" t="n">
        <x:f>$I$38*(MAX(0,MIN(Model!J11-$I$15,Sources!$D$83))-MAX(0,MIN(Model!J10-$I$15,Sources!$D$83)))/Sources!$D$83</x:f>
        <x:v>0.3079976228304169</x:v>
      </x:c>
      <x:c r="K48" s="95" t="n">
        <x:f>$I$38*(MAX(0,MIN(Model!K11-$I$15,Sources!$D$83))-MAX(0,MIN(Model!K10-$I$15,Sources!$D$83)))/Sources!$D$83</x:f>
        <x:v>0.3079976228304169</x:v>
      </x:c>
      <x:c r="L48" s="95" t="n">
        <x:f>$I$38*(MAX(0,MIN(Model!L11-$I$15,Sources!$D$83))-MAX(0,MIN(Model!L10-$I$15,Sources!$D$83)))/Sources!$D$83</x:f>
        <x:v>0.6227644241845794</x:v>
      </x:c>
      <x:c r="M48" s="95" t="n">
        <x:f>$I$38*(MAX(0,MIN(Model!M11-$I$15,Sources!$D$83))-MAX(0,MIN(Model!M10-$I$15,Sources!$D$83)))/Sources!$D$83</x:f>
        <x:v>1.2353750805835404</x:v>
      </x:c>
      <x:c r="N48" s="95" t="n">
        <x:f>$I$38*(MAX(0,MIN(Model!N11-$I$15,Sources!$D$83))-MAX(0,MIN(Model!N10-$I$15,Sources!$D$83)))/Sources!$D$83</x:f>
        <x:v>1.2353750805835397</x:v>
      </x:c>
      <x:c r="O48" s="95" t="n">
        <x:f>$I$38*(MAX(0,MIN(Model!O11-$I$15,Sources!$D$83))-MAX(0,MIN(Model!O10-$I$15,Sources!$D$83)))/Sources!$D$83</x:f>
        <x:v>1.2353750805835408</x:v>
      </x:c>
    </x:row>
    <x:row r="49" ht="22" customHeight="1">
      <x:c r="C49" s="84" t="str">
        <x:v>Q1:28 PPE</x:v>
      </x:c>
      <x:c r="D49" s="95" t="n">
        <x:f>0</x:f>
        <x:v>0</x:v>
      </x:c>
      <x:c r="E49" s="95" t="n">
        <x:f>0</x:f>
        <x:v>0</x:v>
      </x:c>
      <x:c r="F49" s="95" t="n">
        <x:f>0</x:f>
        <x:v>0</x:v>
      </x:c>
      <x:c r="G49" s="95" t="n">
        <x:f>0</x:f>
        <x:v>0</x:v>
      </x:c>
      <x:c r="H49" s="95" t="n">
        <x:f>0</x:f>
        <x:v>0</x:v>
      </x:c>
      <x:c r="I49" s="95" t="n">
        <x:f>0</x:f>
        <x:v>0</x:v>
      </x:c>
      <x:c r="J49" s="95" t="n">
        <x:f>$J$38*(MAX(0,MIN(Model!J11-$J$15,Sources!$D$83))-MAX(0,MIN(Model!J10-$J$15,Sources!$D$83)))/Sources!$D$83</x:f>
        <x:v>0.1509000699875294</x:v>
      </x:c>
      <x:c r="K49" s="95" t="n">
        <x:f>$J$38*(MAX(0,MIN(Model!K11-$J$15,Sources!$D$83))-MAX(0,MIN(Model!K10-$J$15,Sources!$D$83)))/Sources!$D$83</x:f>
        <x:v>0.30180013997505906</x:v>
      </x:c>
      <x:c r="L49" s="95" t="n">
        <x:f>$J$38*(MAX(0,MIN(Model!L11-$J$15,Sources!$D$83))-MAX(0,MIN(Model!L10-$J$15,Sources!$D$83)))/Sources!$D$83</x:f>
        <x:v>0.6102332500594603</x:v>
      </x:c>
      <x:c r="M49" s="95" t="n">
        <x:f>$J$38*(MAX(0,MIN(Model!M11-$J$15,Sources!$D$83))-MAX(0,MIN(Model!M10-$J$15,Sources!$D$83)))/Sources!$D$83</x:f>
        <x:v>1.2105170449549072</x:v>
      </x:c>
      <x:c r="N49" s="95" t="n">
        <x:f>$J$38*(MAX(0,MIN(Model!N11-$J$15,Sources!$D$83))-MAX(0,MIN(Model!N10-$J$15,Sources!$D$83)))/Sources!$D$83</x:f>
        <x:v>1.2105170449549068</x:v>
      </x:c>
      <x:c r="O49" s="95" t="n">
        <x:f>$J$38*(MAX(0,MIN(Model!O11-$J$15,Sources!$D$83))-MAX(0,MIN(Model!O10-$J$15,Sources!$D$83)))/Sources!$D$83</x:f>
        <x:v>1.2105170449549072</x:v>
      </x:c>
    </x:row>
    <x:row r="50" ht="22" customHeight="1">
      <x:c r="C50" s="84" t="str">
        <x:v>Q2:28 PPE</x:v>
      </x:c>
      <x:c r="D50" s="95" t="n">
        <x:f>0</x:f>
        <x:v>0</x:v>
      </x:c>
      <x:c r="E50" s="95" t="n">
        <x:f>0</x:f>
        <x:v>0</x:v>
      </x:c>
      <x:c r="F50" s="95" t="n">
        <x:f>0</x:f>
        <x:v>0</x:v>
      </x:c>
      <x:c r="G50" s="95" t="n">
        <x:f>0</x:f>
        <x:v>0</x:v>
      </x:c>
      <x:c r="H50" s="95" t="n">
        <x:f>0</x:f>
        <x:v>0</x:v>
      </x:c>
      <x:c r="I50" s="95" t="n">
        <x:f>0</x:f>
        <x:v>0</x:v>
      </x:c>
      <x:c r="J50" s="95" t="n">
        <x:f>0</x:f>
        <x:v>0</x:v>
      </x:c>
      <x:c r="K50" s="95" t="n">
        <x:f>$K$38*(MAX(0,MIN(Model!K11-$K$15,Sources!$D$83))-MAX(0,MIN(Model!K10-$K$15,Sources!$D$83)))/Sources!$D$83</x:f>
        <x:v>0.15853275159761426</x:v>
      </x:c>
      <x:c r="L50" s="95" t="n">
        <x:f>$K$38*(MAX(0,MIN(Model!L11-$K$15,Sources!$D$83))-MAX(0,MIN(Model!L10-$K$15,Sources!$D$83)))/Sources!$D$83</x:f>
        <x:v>0.641099478988154</x:v>
      </x:c>
      <x:c r="M50" s="95" t="n">
        <x:f>$K$38*(MAX(0,MIN(Model!M11-$K$15,Sources!$D$83))-MAX(0,MIN(Model!M10-$K$15,Sources!$D$83)))/Sources!$D$83</x:f>
        <x:v>1.2717462490797617</x:v>
      </x:c>
      <x:c r="N50" s="95" t="n">
        <x:f>$K$38*(MAX(0,MIN(Model!N11-$K$15,Sources!$D$83))-MAX(0,MIN(Model!N10-$K$15,Sources!$D$83)))/Sources!$D$83</x:f>
        <x:v>1.271746249079761</x:v>
      </x:c>
      <x:c r="O50" s="95" t="n">
        <x:f>$K$38*(MAX(0,MIN(Model!O11-$K$15,Sources!$D$83))-MAX(0,MIN(Model!O10-$K$15,Sources!$D$83)))/Sources!$D$83</x:f>
        <x:v>1.2717462490797617</x:v>
      </x:c>
    </x:row>
    <x:row r="51" ht="22" customHeight="1">
      <x:c r="C51" s="84" t="str">
        <x:v>H2:28 PPE</x:v>
      </x:c>
      <x:c r="D51" s="95" t="n">
        <x:f>0</x:f>
        <x:v>0</x:v>
      </x:c>
      <x:c r="E51" s="95" t="n">
        <x:f>0</x:f>
        <x:v>0</x:v>
      </x:c>
      <x:c r="F51" s="95" t="n">
        <x:f>0</x:f>
        <x:v>0</x:v>
      </x:c>
      <x:c r="G51" s="95" t="n">
        <x:f>0</x:f>
        <x:v>0</x:v>
      </x:c>
      <x:c r="H51" s="95" t="n">
        <x:f>0</x:f>
        <x:v>0</x:v>
      </x:c>
      <x:c r="I51" s="95" t="n">
        <x:f>0</x:f>
        <x:v>0</x:v>
      </x:c>
      <x:c r="J51" s="95" t="n">
        <x:f>0</x:f>
        <x:v>0</x:v>
      </x:c>
      <x:c r="K51" s="95" t="n">
        <x:f>0</x:f>
        <x:v>0</x:v>
      </x:c>
      <x:c r="L51" s="95" t="n">
        <x:f>$L$38*(MAX(0,MIN(Model!L11-$L$15,Sources!$D$83))-MAX(0,MIN(Model!L10-$L$15,Sources!$D$83)))/Sources!$D$83</x:f>
        <x:v>0.6991350947603984</x:v>
      </x:c>
      <x:c r="M51" s="95" t="n">
        <x:f>$L$38*(MAX(0,MIN(Model!M11-$L$15,Sources!$D$83))-MAX(0,MIN(Model!M10-$L$15,Sources!$D$83)))/Sources!$D$83</x:f>
        <x:v>2.7737424955167995</x:v>
      </x:c>
      <x:c r="N51" s="95" t="n">
        <x:f>$L$38*(MAX(0,MIN(Model!N11-$L$15,Sources!$D$83))-MAX(0,MIN(Model!N10-$L$15,Sources!$D$83)))/Sources!$D$83</x:f>
        <x:v>2.7737424955167986</x:v>
      </x:c>
      <x:c r="O51" s="95" t="n">
        <x:f>$L$38*(MAX(0,MIN(Model!O11-$L$15,Sources!$D$83))-MAX(0,MIN(Model!O10-$L$15,Sources!$D$83)))/Sources!$D$83</x:f>
        <x:v>2.7737424955167995</x:v>
      </x:c>
    </x:row>
    <x:row r="52" ht="22" customHeight="1">
      <x:c r="C52" s="84" t="str">
        <x:v>FY:29 PPE</x:v>
      </x:c>
      <x:c r="D52" s="95" t="n">
        <x:f>0</x:f>
        <x:v>0</x:v>
      </x:c>
      <x:c r="E52" s="95" t="n">
        <x:f>0</x:f>
        <x:v>0</x:v>
      </x:c>
      <x:c r="F52" s="95" t="n">
        <x:f>0</x:f>
        <x:v>0</x:v>
      </x:c>
      <x:c r="G52" s="95" t="n">
        <x:f>0</x:f>
        <x:v>0</x:v>
      </x:c>
      <x:c r="H52" s="95" t="n">
        <x:f>0</x:f>
        <x:v>0</x:v>
      </x:c>
      <x:c r="I52" s="95" t="n">
        <x:f>0</x:f>
        <x:v>0</x:v>
      </x:c>
      <x:c r="J52" s="95" t="n">
        <x:f>0</x:f>
        <x:v>0</x:v>
      </x:c>
      <x:c r="K52" s="95" t="n">
        <x:f>0</x:f>
        <x:v>0</x:v>
      </x:c>
      <x:c r="L52" s="95" t="n">
        <x:f>0</x:f>
        <x:v>0</x:v>
      </x:c>
      <x:c r="M52" s="95" t="n">
        <x:f>$M$38*(MAX(0,MIN(Model!M11-$M$15,Sources!$D$83))-MAX(0,MIN(Model!M10-$M$15,Sources!$D$83)))/Sources!$D$83</x:f>
        <x:v>3.036093801915073</x:v>
      </x:c>
      <x:c r="N52" s="95" t="n">
        <x:f>$M$38*(MAX(0,MIN(Model!N11-$M$15,Sources!$D$83))-MAX(0,MIN(Model!N10-$M$15,Sources!$D$83)))/Sources!$D$83</x:f>
        <x:v>6.072187603830143</x:v>
      </x:c>
      <x:c r="O52" s="95" t="n">
        <x:f>$M$38*(MAX(0,MIN(Model!O11-$M$15,Sources!$D$83))-MAX(0,MIN(Model!O10-$M$15,Sources!$D$83)))/Sources!$D$83</x:f>
        <x:v>6.072187603830146</x:v>
      </x:c>
    </x:row>
    <x:row r="53" ht="22" customHeight="1">
      <x:c r="C53" s="84" t="str">
        <x:v>FY:30 PPE</x:v>
      </x:c>
      <x:c r="D53" s="95" t="n">
        <x:f>0</x:f>
        <x:v>0</x:v>
      </x:c>
      <x:c r="E53" s="95" t="n">
        <x:f>0</x:f>
        <x:v>0</x:v>
      </x:c>
      <x:c r="F53" s="95" t="n">
        <x:f>0</x:f>
        <x:v>0</x:v>
      </x:c>
      <x:c r="G53" s="95" t="n">
        <x:f>0</x:f>
        <x:v>0</x:v>
      </x:c>
      <x:c r="H53" s="95" t="n">
        <x:f>0</x:f>
        <x:v>0</x:v>
      </x:c>
      <x:c r="I53" s="95" t="n">
        <x:f>0</x:f>
        <x:v>0</x:v>
      </x:c>
      <x:c r="J53" s="95" t="n">
        <x:f>0</x:f>
        <x:v>0</x:v>
      </x:c>
      <x:c r="K53" s="95" t="n">
        <x:f>0</x:f>
        <x:v>0</x:v>
      </x:c>
      <x:c r="L53" s="95" t="n">
        <x:f>0</x:f>
        <x:v>0</x:v>
      </x:c>
      <x:c r="M53" s="95" t="n">
        <x:f>0</x:f>
        <x:v>0</x:v>
      </x:c>
      <x:c r="N53" s="95" t="n">
        <x:f>$N$38*(MAX(0,MIN(Model!N11-$N$15,Sources!$D$83))-MAX(0,MIN(Model!N10-$N$15,Sources!$D$83)))/Sources!$D$83</x:f>
        <x:v>3.3662670947172693</x:v>
      </x:c>
      <x:c r="O53" s="95" t="n">
        <x:f>$N$38*(MAX(0,MIN(Model!O11-$N$15,Sources!$D$83))-MAX(0,MIN(Model!O10-$N$15,Sources!$D$83)))/Sources!$D$83</x:f>
        <x:v>6.7325341894345385</x:v>
      </x:c>
    </x:row>
    <x:row r="54" ht="22" customHeight="1">
      <x:c r="C54" s="84" t="str">
        <x:v>FY:31 PPE</x:v>
      </x:c>
      <x:c r="D54" s="95" t="n">
        <x:f>0</x:f>
        <x:v>0</x:v>
      </x:c>
      <x:c r="E54" s="95" t="n">
        <x:f>0</x:f>
        <x:v>0</x:v>
      </x:c>
      <x:c r="F54" s="95" t="n">
        <x:f>0</x:f>
        <x:v>0</x:v>
      </x:c>
      <x:c r="G54" s="95" t="n">
        <x:f>0</x:f>
        <x:v>0</x:v>
      </x:c>
      <x:c r="H54" s="95" t="n">
        <x:f>0</x:f>
        <x:v>0</x:v>
      </x:c>
      <x:c r="I54" s="95" t="n">
        <x:f>0</x:f>
        <x:v>0</x:v>
      </x:c>
      <x:c r="J54" s="95" t="n">
        <x:f>0</x:f>
        <x:v>0</x:v>
      </x:c>
      <x:c r="K54" s="95" t="n">
        <x:f>0</x:f>
        <x:v>0</x:v>
      </x:c>
      <x:c r="L54" s="95" t="n">
        <x:f>0</x:f>
        <x:v>0</x:v>
      </x:c>
      <x:c r="M54" s="95" t="n">
        <x:f>0</x:f>
        <x:v>0</x:v>
      </x:c>
      <x:c r="N54" s="95" t="n">
        <x:f>0</x:f>
        <x:v>0</x:v>
      </x:c>
      <x:c r="O54" s="95" t="n">
        <x:f>$O$38*(MAX(0,MIN(Model!O11-$O$15,Sources!$D$83))-MAX(0,MIN(Model!O10-$O$15,Sources!$D$83)))/Sources!$D$83</x:f>
        <x:v>3.888524749641602</x:v>
      </x:c>
    </x:row>
    <x:row r="55" ht="22" customHeight="1">
      <x:c r="C55" s="69"/>
      <x:c r="D55" s="73"/>
      <x:c r="E55" s="73"/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</x:row>
    <x:row r="56" ht="22" customHeight="1">
      <x:c r="C56" s="84" t="str">
        <x:v>New PPE depreciation total</x:v>
      </x:c>
      <x:c r="D56" s="95" t="n">
        <x:f>SUM(D43:D54)</x:f>
        <x:v>0.12994479798408698</x:v>
      </x:c>
      <x:c r="E56" s="95" t="n">
        <x:f>SUM(E43:E54)</x:f>
        <x:v>0.39495370017652065</x:v>
      </x:c>
      <x:c r="F56" s="95" t="n">
        <x:f>SUM(F43:F54)</x:f>
        <x:v>0.6432101915705032</x:v>
      </x:c>
      <x:c r="G56" s="95" t="n">
        <x:f>SUM(G43:G54)</x:f>
        <x:v>0.9116632667670972</x:v>
      </x:c>
      <x:c r="H56" s="95" t="n">
        <x:f>SUM(H43:H54)</x:f>
        <x:v>1.2050257322070823</x:v>
      </x:c>
      <x:c r="I56" s="95" t="n">
        <x:f>SUM(I43:I54)</x:f>
        <x:v>1.5073691799940472</x:v>
      </x:c>
      <x:c r="J56" s="95" t="n">
        <x:f>SUM(J43:J54)</x:f>
        <x:v>1.7958836137881533</x:v>
      </x:c>
      <x:c r="K56" s="95" t="n">
        <x:f>SUM(K43:K54)</x:f>
        <x:v>2.1053164353732976</x:v>
      </x:c>
      <x:c r="L56" s="95" t="n">
        <x:f>SUM(L43:L54)</x:f>
        <x:v>5.276588395888397</x:v>
      </x:c>
      <x:c r="M56" s="95" t="n">
        <x:f>SUM(M43:M54)</x:f>
        <x:v>14.890110508908606</x:v>
      </x:c>
      <x:c r="N56" s="95" t="n">
        <x:f>SUM(N43:N54)</x:f>
        <x:v>21.29247140554094</x:v>
      </x:c>
      <x:c r="O56" s="95" t="n">
        <x:f>SUM(O43:O54)</x:f>
        <x:v>28.016603688648072</x:v>
      </x:c>
    </x:row>
    <x:row r="57" ht="22" customHeight="1">
      <x:c r="C57" s="69"/>
      <x:c r="D57" s="73"/>
      <x:c r="E57" s="73"/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</x:row>
    <x:row r="58" ht="22" customHeight="1">
      <x:c r="C58" s="69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</x:row>
    <x:row r="59" ht="22" customHeight="1">
      <x:c r="C59" s="69"/>
      <x:c r="D59" s="73"/>
      <x:c r="E59" s="73"/>
      <x:c r="F59" s="73"/>
      <x:c r="G59" s="73"/>
      <x:c r="H59" s="73"/>
      <x:c r="I59" s="73"/>
      <x:c r="J59" s="73"/>
      <x:c r="K59" s="73"/>
      <x:c r="L59" s="73"/>
      <x:c r="M59" s="73"/>
      <x:c r="N59" s="73"/>
      <x:c r="O59" s="73"/>
    </x:row>
    <x:row r="60" ht="24" customHeight="1">
      <x:c r="C60" s="122" t="str">
        <x:v>Conditional acquisition release calendar</x:v>
      </x:c>
      <x:c r="D60" s="124"/>
      <x:c r="E60" s="124"/>
      <x:c r="F60" s="124"/>
      <x:c r="G60" s="124"/>
      <x:c r="H60" s="73"/>
      <x:c r="I60" s="73"/>
      <x:c r="J60" s="73"/>
      <x:c r="K60" s="73"/>
      <x:c r="L60" s="73"/>
      <x:c r="M60" s="73"/>
      <x:c r="N60" s="73"/>
      <x:c r="O60" s="73"/>
    </x:row>
    <x:row r="61" ht="22" customHeight="1">
      <x:c r="C61" s="69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</x:row>
    <x:row r="62" ht="40" customHeight="1">
      <x:c r="C62" s="155" t="str">
        <x:v>Months after closing</x:v>
      </x:c>
      <x:c r="D62" s="156" t="str">
        <x:v>Date</x:v>
      </x:c>
      <x:c r="E62" s="156" t="str">
        <x:v>Stock release ($M)</x:v>
      </x:c>
      <x:c r="F62" s="156" t="str">
        <x:v>Employee vest ($M)</x:v>
      </x:c>
      <x:c r="G62" s="73"/>
      <x:c r="H62" s="73"/>
      <x:c r="I62" s="73"/>
      <x:c r="J62" s="73"/>
      <x:c r="K62" s="73"/>
      <x:c r="L62" s="73"/>
      <x:c r="M62" s="73"/>
      <x:c r="N62" s="73"/>
      <x:c r="O62" s="73"/>
    </x:row>
    <x:row r="63" ht="22" customHeight="1">
      <x:c r="C63" s="106" t="n">
        <x:v>0</x:v>
      </x:c>
      <x:c r="D63" s="204" t="n">
        <x:f>EDATE(Sources!$D$88,C63)</x:f>
        <x:v>46568</x:v>
      </x:c>
      <x:c r="E63" s="93" t="n">
        <x:f>Sources!$D$86*Sources!$D$53*0.92</x:f>
        <x:v>368</x:v>
      </x:c>
      <x:c r="F63" s="93" t="n">
        <x:f>Sources!$D$86*Sources!$D$54*0</x:f>
        <x:v>0</x:v>
      </x:c>
      <x:c r="G63" s="73"/>
      <x:c r="H63" s="73"/>
      <x:c r="I63" s="73"/>
      <x:c r="J63" s="73"/>
      <x:c r="K63" s="73"/>
      <x:c r="L63" s="73"/>
      <x:c r="M63" s="73"/>
      <x:c r="N63" s="73"/>
      <x:c r="O63" s="73"/>
    </x:row>
    <x:row r="64" ht="22" customHeight="1">
      <x:c r="C64" s="106" t="n">
        <x:v>6</x:v>
      </x:c>
      <x:c r="D64" s="204" t="n">
        <x:f>EDATE(Sources!$D$88,C64)</x:f>
        <x:v>46751</x:v>
      </x:c>
      <x:c r="E64" s="93" t="n">
        <x:f>Sources!$D$86*Sources!$D$53*0.016666666666666666</x:f>
        <x:v>6.666666666666667</x:v>
      </x:c>
      <x:c r="F64" s="93" t="n">
        <x:f>Sources!$D$86*Sources!$D$54*0</x:f>
        <x:v>0</x:v>
      </x:c>
      <x:c r="G64" s="73"/>
      <x:c r="H64" s="73"/>
      <x:c r="I64" s="73"/>
      <x:c r="J64" s="73"/>
      <x:c r="K64" s="73"/>
      <x:c r="L64" s="73"/>
      <x:c r="M64" s="73"/>
      <x:c r="N64" s="73"/>
      <x:c r="O64" s="73"/>
    </x:row>
    <x:row r="65" ht="22" customHeight="1">
      <x:c r="C65" s="106" t="n">
        <x:v>12</x:v>
      </x:c>
      <x:c r="D65" s="204" t="n">
        <x:f>EDATE(Sources!$D$88,C65)</x:f>
        <x:v>46934</x:v>
      </x:c>
      <x:c r="E65" s="93" t="n">
        <x:f>Sources!$D$86*Sources!$D$53*0.024166666666666666</x:f>
        <x:v>9.666666666666666</x:v>
      </x:c>
      <x:c r="F65" s="93" t="n">
        <x:f>Sources!$D$86*Sources!$D$54*0</x:f>
        <x:v>0</x:v>
      </x:c>
      <x:c r="G65" s="73"/>
      <x:c r="H65" s="73"/>
      <x:c r="I65" s="73"/>
      <x:c r="J65" s="73"/>
      <x:c r="K65" s="73"/>
      <x:c r="L65" s="73"/>
      <x:c r="M65" s="73"/>
      <x:c r="N65" s="73"/>
      <x:c r="O65" s="73"/>
    </x:row>
    <x:row r="66" ht="22" customHeight="1">
      <x:c r="C66" s="106" t="n">
        <x:v>18</x:v>
      </x:c>
      <x:c r="D66" s="204" t="n">
        <x:f>EDATE(Sources!$D$88,C66)</x:f>
        <x:v>47117</x:v>
      </x:c>
      <x:c r="E66" s="93" t="n">
        <x:f>Sources!$D$86*Sources!$D$53*0.016666666666666666</x:f>
        <x:v>6.666666666666667</x:v>
      </x:c>
      <x:c r="F66" s="93" t="n">
        <x:f>Sources!$D$86*Sources!$D$54*0</x:f>
        <x:v>0</x:v>
      </x:c>
      <x:c r="G66" s="73"/>
      <x:c r="H66" s="73"/>
      <x:c r="I66" s="73"/>
      <x:c r="J66" s="73"/>
      <x:c r="K66" s="73"/>
      <x:c r="L66" s="73"/>
      <x:c r="M66" s="73"/>
      <x:c r="N66" s="73"/>
      <x:c r="O66" s="73"/>
    </x:row>
    <x:row r="67" ht="22" customHeight="1">
      <x:c r="C67" s="106" t="n">
        <x:v>24</x:v>
      </x:c>
      <x:c r="D67" s="204" t="n">
        <x:f>EDATE(Sources!$D$88,C67)</x:f>
        <x:v>47299</x:v>
      </x:c>
      <x:c r="E67" s="93" t="n">
        <x:f>Sources!$D$86*Sources!$D$53*0.0075</x:f>
        <x:v>3</x:v>
      </x:c>
      <x:c r="F67" s="93" t="n">
        <x:f>Sources!$D$86*Sources!$D$54*0</x:f>
        <x:v>0</x:v>
      </x:c>
      <x:c r="G67" s="73"/>
      <x:c r="H67" s="73"/>
      <x:c r="I67" s="73"/>
      <x:c r="J67" s="73"/>
      <x:c r="K67" s="73"/>
      <x:c r="L67" s="73"/>
      <x:c r="M67" s="73"/>
      <x:c r="N67" s="73"/>
      <x:c r="O67" s="73"/>
    </x:row>
    <x:row r="68" ht="22" customHeight="1">
      <x:c r="C68" s="106" t="n">
        <x:v>36</x:v>
      </x:c>
      <x:c r="D68" s="204" t="n">
        <x:f>EDATE(Sources!$D$88,C68)</x:f>
        <x:v>47664</x:v>
      </x:c>
      <x:c r="E68" s="93" t="n">
        <x:f>Sources!$D$86*Sources!$D$53*0.0075</x:f>
        <x:v>3</x:v>
      </x:c>
      <x:c r="F68" s="93" t="n">
        <x:f>Sources!$D$86*Sources!$D$54*0</x:f>
        <x:v>0</x:v>
      </x:c>
      <x:c r="G68" s="73"/>
      <x:c r="H68" s="73"/>
      <x:c r="I68" s="73"/>
      <x:c r="J68" s="73"/>
      <x:c r="K68" s="73"/>
      <x:c r="L68" s="73"/>
      <x:c r="M68" s="73"/>
      <x:c r="N68" s="73"/>
      <x:c r="O68" s="73"/>
    </x:row>
    <x:row r="69" ht="22" customHeight="1">
      <x:c r="C69" s="106" t="n">
        <x:v>48</x:v>
      </x:c>
      <x:c r="D69" s="204" t="n">
        <x:f>EDATE(Sources!$D$88,C69)</x:f>
        <x:v>48029</x:v>
      </x:c>
      <x:c r="E69" s="93" t="n">
        <x:f>Sources!$D$86*Sources!$D$53*0.0075</x:f>
        <x:v>3</x:v>
      </x:c>
      <x:c r="F69" s="93" t="n">
        <x:f>Sources!$D$86*Sources!$D$54*0</x:f>
        <x:v>0</x:v>
      </x:c>
      <x:c r="G69" s="73"/>
      <x:c r="H69" s="73"/>
      <x:c r="I69" s="73"/>
      <x:c r="J69" s="73"/>
      <x:c r="K69" s="73"/>
      <x:c r="L69" s="73"/>
      <x:c r="M69" s="73"/>
      <x:c r="N69" s="73"/>
      <x:c r="O69" s="73"/>
    </x:row>
    <x:row r="70" ht="22" customHeight="1">
      <x:c r="C70" s="106" t="n">
        <x:v>27</x:v>
      </x:c>
      <x:c r="D70" s="204" t="n">
        <x:f>EDATE(Sources!$D$88,C70)</x:f>
        <x:v>47391</x:v>
      </x:c>
      <x:c r="E70" s="93" t="n">
        <x:f>Sources!$D$86*Sources!$D$53*0</x:f>
        <x:v>0</x:v>
      </x:c>
      <x:c r="F70" s="93" t="n">
        <x:f>Sources!$D$86*Sources!$D$54*0.125</x:f>
        <x:v>3.125</x:v>
      </x:c>
      <x:c r="G70" s="73"/>
      <x:c r="H70" s="73"/>
      <x:c r="I70" s="73"/>
      <x:c r="J70" s="73"/>
      <x:c r="K70" s="73"/>
      <x:c r="L70" s="73"/>
      <x:c r="M70" s="73"/>
      <x:c r="N70" s="73"/>
      <x:c r="O70" s="73"/>
    </x:row>
    <x:row r="71" ht="22" customHeight="1">
      <x:c r="C71" s="106" t="n">
        <x:v>30</x:v>
      </x:c>
      <x:c r="D71" s="204" t="n">
        <x:f>EDATE(Sources!$D$88,C71)</x:f>
        <x:v>47482</x:v>
      </x:c>
      <x:c r="E71" s="93" t="n">
        <x:f>Sources!$D$86*Sources!$D$53*0</x:f>
        <x:v>0</x:v>
      </x:c>
      <x:c r="F71" s="93" t="n">
        <x:f>Sources!$D$86*Sources!$D$54*0.125</x:f>
        <x:v>3.125</x:v>
      </x:c>
      <x:c r="G71" s="73"/>
      <x:c r="H71" s="73"/>
      <x:c r="I71" s="73"/>
      <x:c r="J71" s="73"/>
      <x:c r="K71" s="73"/>
      <x:c r="L71" s="73"/>
      <x:c r="M71" s="73"/>
      <x:c r="N71" s="73"/>
      <x:c r="O71" s="73"/>
    </x:row>
    <x:row r="72" ht="22" customHeight="1">
      <x:c r="C72" s="106" t="n">
        <x:v>33</x:v>
      </x:c>
      <x:c r="D72" s="204" t="n">
        <x:f>EDATE(Sources!$D$88,C72)</x:f>
        <x:v>47572</x:v>
      </x:c>
      <x:c r="E72" s="93" t="n">
        <x:f>Sources!$D$86*Sources!$D$53*0</x:f>
        <x:v>0</x:v>
      </x:c>
      <x:c r="F72" s="93" t="n">
        <x:f>Sources!$D$86*Sources!$D$54*0.125</x:f>
        <x:v>3.125</x:v>
      </x:c>
      <x:c r="G72" s="73"/>
      <x:c r="H72" s="73"/>
      <x:c r="I72" s="73"/>
      <x:c r="J72" s="73"/>
      <x:c r="K72" s="73"/>
      <x:c r="L72" s="73"/>
      <x:c r="M72" s="73"/>
      <x:c r="N72" s="73"/>
      <x:c r="O72" s="73"/>
    </x:row>
    <x:row r="73" ht="22" customHeight="1">
      <x:c r="C73" s="106" t="n">
        <x:v>36</x:v>
      </x:c>
      <x:c r="D73" s="204" t="n">
        <x:f>EDATE(Sources!$D$88,C73)</x:f>
        <x:v>47664</x:v>
      </x:c>
      <x:c r="E73" s="93" t="n">
        <x:f>Sources!$D$86*Sources!$D$53*0</x:f>
        <x:v>0</x:v>
      </x:c>
      <x:c r="F73" s="93" t="n">
        <x:f>Sources!$D$86*Sources!$D$54*0.125</x:f>
        <x:v>3.125</x:v>
      </x:c>
      <x:c r="G73" s="73"/>
      <x:c r="H73" s="73"/>
      <x:c r="I73" s="73"/>
      <x:c r="J73" s="73"/>
      <x:c r="K73" s="73"/>
      <x:c r="L73" s="73"/>
      <x:c r="M73" s="73"/>
      <x:c r="N73" s="73"/>
      <x:c r="O73" s="73"/>
    </x:row>
    <x:row r="74" ht="22" customHeight="1">
      <x:c r="C74" s="106" t="n">
        <x:v>39</x:v>
      </x:c>
      <x:c r="D74" s="204" t="n">
        <x:f>EDATE(Sources!$D$88,C74)</x:f>
        <x:v>47756</x:v>
      </x:c>
      <x:c r="E74" s="93" t="n">
        <x:f>Sources!$D$86*Sources!$D$53*0</x:f>
        <x:v>0</x:v>
      </x:c>
      <x:c r="F74" s="93" t="n">
        <x:f>Sources!$D$86*Sources!$D$54*0.125</x:f>
        <x:v>3.125</x:v>
      </x:c>
      <x:c r="G74" s="73"/>
      <x:c r="H74" s="73"/>
      <x:c r="I74" s="73"/>
      <x:c r="J74" s="73"/>
      <x:c r="K74" s="73"/>
      <x:c r="L74" s="73"/>
      <x:c r="M74" s="73"/>
      <x:c r="N74" s="73"/>
      <x:c r="O74" s="73"/>
    </x:row>
    <x:row r="75" ht="22" customHeight="1">
      <x:c r="C75" s="106" t="n">
        <x:v>42</x:v>
      </x:c>
      <x:c r="D75" s="204" t="n">
        <x:f>EDATE(Sources!$D$88,C75)</x:f>
        <x:v>47847</x:v>
      </x:c>
      <x:c r="E75" s="93" t="n">
        <x:f>Sources!$D$86*Sources!$D$53*0</x:f>
        <x:v>0</x:v>
      </x:c>
      <x:c r="F75" s="93" t="n">
        <x:f>Sources!$D$86*Sources!$D$54*0.125</x:f>
        <x:v>3.125</x:v>
      </x:c>
      <x:c r="G75" s="73"/>
      <x:c r="H75" s="73"/>
      <x:c r="I75" s="73"/>
      <x:c r="J75" s="73"/>
      <x:c r="K75" s="73"/>
      <x:c r="L75" s="73"/>
      <x:c r="M75" s="73"/>
      <x:c r="N75" s="73"/>
      <x:c r="O75" s="73"/>
    </x:row>
    <x:row r="76" ht="22" customHeight="1">
      <x:c r="C76" s="106" t="n">
        <x:v>45</x:v>
      </x:c>
      <x:c r="D76" s="204" t="n">
        <x:f>EDATE(Sources!$D$88,C76)</x:f>
        <x:v>47937</x:v>
      </x:c>
      <x:c r="E76" s="93" t="n">
        <x:f>Sources!$D$86*Sources!$D$53*0</x:f>
        <x:v>0</x:v>
      </x:c>
      <x:c r="F76" s="93" t="n">
        <x:f>Sources!$D$86*Sources!$D$54*0.125</x:f>
        <x:v>3.125</x:v>
      </x:c>
      <x:c r="G76" s="73"/>
      <x:c r="H76" s="73"/>
      <x:c r="I76" s="73"/>
      <x:c r="J76" s="73"/>
      <x:c r="K76" s="73"/>
      <x:c r="L76" s="73"/>
      <x:c r="M76" s="73"/>
      <x:c r="N76" s="73"/>
      <x:c r="O76" s="73"/>
    </x:row>
    <x:row r="77" ht="22" customHeight="1">
      <x:c r="C77" s="106" t="n">
        <x:v>48</x:v>
      </x:c>
      <x:c r="D77" s="204" t="n">
        <x:f>EDATE(Sources!$D$88,C77)</x:f>
        <x:v>48029</x:v>
      </x:c>
      <x:c r="E77" s="93" t="n">
        <x:f>Sources!$D$86*Sources!$D$53*0</x:f>
        <x:v>0</x:v>
      </x:c>
      <x:c r="F77" s="93" t="n">
        <x:f>Sources!$D$86*Sources!$D$54*0.125</x:f>
        <x:v>3.125</x:v>
      </x:c>
      <x:c r="G77" s="73"/>
      <x:c r="H77" s="73"/>
      <x:c r="I77" s="73"/>
      <x:c r="J77" s="73"/>
      <x:c r="K77" s="73"/>
      <x:c r="L77" s="73"/>
      <x:c r="M77" s="73"/>
      <x:c r="N77" s="73"/>
      <x:c r="O77" s="73"/>
    </x:row>
    <x:row r="78" ht="22" customHeight="1">
      <x:c r="C78" s="69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</x:row>
    <x:row r="79" ht="22" customHeight="1">
      <x:c r="C79" s="69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</x:row>
    <x:row r="80" ht="22" customHeight="1">
      <x:c r="C80" s="84" t="str">
        <x:v>Seller holdbacks carry no voting/economic rights until release. No indemnity claims assumed.</x:v>
      </x:c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</x:row>
    <x:row r="81" ht="22" customHeight="1">
      <x:c r="C81" s="69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</x:row>
    <x:row r="82" ht="22" customHeight="1">
      <x:c r="C82" s="84" t="str">
        <x:v>Employee incentive expense uses an analyst straight-line 48-month service period.</x:v>
      </x:c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</x:row>
    <x:row r="83" ht="22" customHeight="1">
      <x:c r="C83" s="69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</x:row>
    <x:row r="84" ht="22" customHeight="1">
      <x:c r="C84" s="84" t="str">
        <x:v>Future software life is an assumption. Existing runoff is disclosed through 2030; 2031 is allocated.</x:v>
      </x:c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</x:row>
    <x:row r="85" ht="22" customHeight="1">
      <x:c r="C85" s="69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</x:row>
    <x:row r="86" ht="22" customHeight="1">
      <x:c r="C86" s="69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</x:row>
    <x:row r="87" ht="22" customHeight="1">
      <x:c r="C87" s="69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</x:row>
    <x:row r="88" ht="22" customHeight="1">
      <x:c r="C88" s="69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</x:row>
    <x:row r="89" ht="22" customHeight="1">
      <x:c r="C89" s="69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</x:row>
    <x:row r="90" ht="22" customHeight="1">
      <x:c r="C90" s="69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</x:row>
    <x:row r="91" ht="22" customHeight="1">
      <x:c r="C91" s="69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</x:row>
    <x:row r="92" ht="22" customHeight="1">
      <x:c r="C92" s="69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</x:row>
    <x:row r="93" ht="22" customHeight="1">
      <x:c r="C93" s="69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</x:row>
    <x:row r="94" ht="22" customHeight="1">
      <x:c r="C94" s="69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</x:row>
    <x:row r="95" ht="22" customHeight="1">
      <x:c r="C95" s="69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</x:row>
    <x:row r="96" ht="22" customHeight="1">
      <x:c r="C96" s="69"/>
      <x:c r="D96" s="73"/>
      <x:c r="E96" s="73"/>
      <x:c r="F96" s="73"/>
      <x:c r="G96" s="73"/>
      <x:c r="H96" s="73"/>
      <x:c r="I96" s="73"/>
      <x:c r="J96" s="73"/>
      <x:c r="K96" s="73"/>
      <x:c r="L96" s="73"/>
      <x:c r="M96" s="73"/>
      <x:c r="N96" s="73"/>
      <x:c r="O96" s="73"/>
    </x:row>
    <x:row r="97" ht="22" customHeight="1">
      <x:c r="C97" s="69"/>
      <x:c r="D97" s="73"/>
      <x:c r="E97" s="73"/>
      <x:c r="F97" s="73"/>
      <x:c r="G97" s="73"/>
      <x:c r="H97" s="73"/>
      <x:c r="I97" s="73"/>
      <x:c r="J97" s="73"/>
      <x:c r="K97" s="73"/>
      <x:c r="L97" s="73"/>
      <x:c r="M97" s="73"/>
      <x:c r="N97" s="73"/>
      <x:c r="O97" s="73"/>
    </x:row>
    <x:row r="98" ht="22" customHeight="1">
      <x:c r="C98" s="69"/>
      <x:c r="D98" s="73"/>
      <x:c r="E98" s="73"/>
      <x:c r="F98" s="73"/>
      <x:c r="G98" s="73"/>
      <x:c r="H98" s="73"/>
      <x:c r="I98" s="73"/>
      <x:c r="J98" s="73"/>
      <x:c r="K98" s="73"/>
      <x:c r="L98" s="73"/>
      <x:c r="M98" s="73"/>
      <x:c r="N98" s="73"/>
      <x:c r="O98" s="73"/>
    </x:row>
    <x:row r="99" ht="22" customHeight="1">
      <x:c r="C99" s="69"/>
      <x:c r="D99" s="73"/>
      <x:c r="E99" s="73"/>
      <x:c r="F99" s="73"/>
      <x:c r="G99" s="73"/>
      <x:c r="H99" s="73"/>
      <x:c r="I99" s="73"/>
      <x:c r="J99" s="73"/>
      <x:c r="K99" s="73"/>
      <x:c r="L99" s="73"/>
      <x:c r="M99" s="73"/>
      <x:c r="N99" s="73"/>
      <x:c r="O99" s="73"/>
    </x:row>
    <x:row r="100" ht="22" customHeight="1">
      <x:c r="C100" s="69"/>
      <x:c r="D100" s="73"/>
      <x:c r="E100" s="73"/>
      <x:c r="F100" s="73"/>
      <x:c r="G100" s="73"/>
      <x:c r="H100" s="73"/>
      <x:c r="I100" s="73"/>
      <x:c r="J100" s="73"/>
      <x:c r="K100" s="73"/>
      <x:c r="L100" s="73"/>
      <x:c r="M100" s="73"/>
      <x:c r="N100" s="73"/>
      <x:c r="O100" s="73"/>
    </x:row>
    <x:row r="101" ht="22" customHeight="1">
      <x:c r="C101" s="69"/>
      <x:c r="D101" s="73"/>
      <x:c r="E101" s="73"/>
      <x:c r="F101" s="73"/>
      <x:c r="G101" s="73"/>
      <x:c r="H101" s="73"/>
      <x:c r="I101" s="73"/>
      <x:c r="J101" s="73"/>
      <x:c r="K101" s="73"/>
      <x:c r="L101" s="73"/>
      <x:c r="M101" s="73"/>
      <x:c r="N101" s="73"/>
      <x:c r="O101" s="73"/>
    </x:row>
    <x:row r="102" ht="22" customHeight="1">
      <x:c r="C102" s="69"/>
      <x:c r="D102" s="73"/>
      <x:c r="E102" s="73"/>
      <x:c r="F102" s="73"/>
      <x:c r="G102" s="73"/>
      <x:c r="H102" s="73"/>
      <x:c r="I102" s="73"/>
      <x:c r="J102" s="73"/>
      <x:c r="K102" s="73"/>
      <x:c r="L102" s="73"/>
      <x:c r="M102" s="73"/>
      <x:c r="N102" s="73"/>
      <x:c r="O102" s="73"/>
    </x:row>
    <x:row r="103" ht="22" customHeight="1">
      <x:c r="C103" s="69"/>
      <x:c r="D103" s="73"/>
      <x:c r="E103" s="73"/>
      <x:c r="F103" s="73"/>
      <x:c r="G103" s="73"/>
      <x:c r="H103" s="73"/>
      <x:c r="I103" s="73"/>
      <x:c r="J103" s="73"/>
      <x:c r="K103" s="73"/>
      <x:c r="L103" s="73"/>
      <x:c r="M103" s="73"/>
      <x:c r="N103" s="73"/>
      <x:c r="O103" s="73"/>
    </x:row>
    <x:row r="104" ht="22" customHeight="1">
      <x:c r="C104" s="69"/>
      <x:c r="D104" s="73"/>
      <x:c r="E104" s="73"/>
      <x:c r="F104" s="73"/>
      <x:c r="G104" s="73"/>
      <x:c r="H104" s="73"/>
      <x:c r="I104" s="73"/>
      <x:c r="J104" s="73"/>
      <x:c r="K104" s="73"/>
      <x:c r="L104" s="73"/>
      <x:c r="M104" s="73"/>
      <x:c r="N104" s="73"/>
      <x:c r="O104" s="73"/>
    </x:row>
    <x:row r="105" ht="22" customHeight="1">
      <x:c r="C105" s="69"/>
      <x:c r="D105" s="73"/>
      <x:c r="E105" s="73"/>
      <x:c r="F105" s="73"/>
      <x:c r="G105" s="73"/>
      <x:c r="H105" s="73"/>
      <x:c r="I105" s="73"/>
      <x:c r="J105" s="73"/>
      <x:c r="K105" s="73"/>
      <x:c r="L105" s="73"/>
      <x:c r="M105" s="73"/>
      <x:c r="N105" s="73"/>
      <x:c r="O105" s="73"/>
    </x:row>
    <x:row r="106" ht="22" customHeight="1">
      <x:c r="C106" s="69"/>
      <x:c r="D106" s="73"/>
      <x:c r="E106" s="73"/>
      <x:c r="F106" s="73"/>
      <x:c r="G106" s="73"/>
      <x:c r="H106" s="73"/>
      <x:c r="I106" s="73"/>
      <x:c r="J106" s="73"/>
      <x:c r="K106" s="73"/>
      <x:c r="L106" s="73"/>
      <x:c r="M106" s="73"/>
      <x:c r="N106" s="73"/>
      <x:c r="O106" s="73"/>
    </x:row>
    <x:row r="107" ht="22" customHeight="1">
      <x:c r="C107" s="69"/>
      <x:c r="D107" s="73"/>
      <x:c r="E107" s="73"/>
      <x:c r="F107" s="73"/>
      <x:c r="G107" s="73"/>
      <x:c r="H107" s="73"/>
      <x:c r="I107" s="73"/>
      <x:c r="J107" s="73"/>
      <x:c r="K107" s="73"/>
      <x:c r="L107" s="73"/>
      <x:c r="M107" s="73"/>
      <x:c r="N107" s="73"/>
      <x:c r="O107" s="73"/>
    </x:row>
    <x:row r="108" ht="22" customHeight="1">
      <x:c r="C108" s="69"/>
      <x:c r="D108" s="73"/>
      <x:c r="E108" s="73"/>
      <x:c r="F108" s="73"/>
      <x:c r="G108" s="73"/>
      <x:c r="H108" s="73"/>
      <x:c r="I108" s="73"/>
      <x:c r="J108" s="73"/>
      <x:c r="K108" s="73"/>
      <x:c r="L108" s="73"/>
      <x:c r="M108" s="73"/>
      <x:c r="N108" s="73"/>
      <x:c r="O108" s="73"/>
    </x:row>
    <x:row r="109" ht="22" customHeight="1">
      <x:c r="C109" s="69"/>
      <x:c r="D109" s="73"/>
      <x:c r="E109" s="73"/>
      <x:c r="F109" s="73"/>
      <x:c r="G109" s="73"/>
      <x:c r="H109" s="73"/>
      <x:c r="I109" s="73"/>
      <x:c r="J109" s="73"/>
      <x:c r="K109" s="73"/>
      <x:c r="L109" s="73"/>
      <x:c r="M109" s="73"/>
      <x:c r="N109" s="73"/>
      <x:c r="O109" s="73"/>
    </x:row>
    <x:row r="110" ht="22" customHeight="1">
      <x:c r="C110" s="69"/>
      <x:c r="D110" s="73"/>
      <x:c r="E110" s="73"/>
      <x:c r="F110" s="73"/>
      <x:c r="G110" s="73"/>
      <x:c r="H110" s="73"/>
      <x:c r="I110" s="73"/>
      <x:c r="J110" s="73"/>
      <x:c r="K110" s="73"/>
      <x:c r="L110" s="73"/>
      <x:c r="M110" s="73"/>
      <x:c r="N110" s="73"/>
      <x:c r="O110" s="73"/>
    </x:row>
    <x:row r="111" ht="22" customHeight="1">
      <x:c r="C111" s="69"/>
      <x:c r="D111" s="73"/>
      <x:c r="E111" s="73"/>
      <x:c r="F111" s="73"/>
      <x:c r="G111" s="73"/>
      <x:c r="H111" s="73"/>
      <x:c r="I111" s="73"/>
      <x:c r="J111" s="73"/>
      <x:c r="K111" s="73"/>
      <x:c r="L111" s="73"/>
      <x:c r="M111" s="73"/>
      <x:c r="N111" s="73"/>
      <x:c r="O111" s="73"/>
    </x:row>
    <x:row r="112" ht="22" customHeight="1">
      <x:c r="C112" s="69"/>
      <x:c r="D112" s="73"/>
      <x:c r="E112" s="73"/>
      <x:c r="F112" s="73"/>
      <x:c r="G112" s="73"/>
      <x:c r="H112" s="73"/>
      <x:c r="I112" s="73"/>
      <x:c r="J112" s="73"/>
      <x:c r="K112" s="73"/>
      <x:c r="L112" s="73"/>
      <x:c r="M112" s="73"/>
      <x:c r="N112" s="73"/>
      <x:c r="O112" s="7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B53BF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</x:row>
    <x:row r="2" ht="22" customHeight="1">
      <x:c r="C2" s="81" t="str">
        <x:v>Corporate valuation and reverse DCF</x:v>
      </x:c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 ht="22" customHeight="1"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</x:row>
    <x:row r="4" ht="22" customHeight="1">
      <x:c r="C4" s="84" t="str">
        <x:v>Case selected</x:v>
      </x:c>
      <x:c r="D4" s="86" t="str">
        <x:f>Assumptions!$E$4</x:f>
        <x:v>Base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ht="22" customHeight="1">
      <x:c r="C5" s="87" t="str">
        <x:v>USD M; shares M; per-share USD</x:v>
      </x:c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</x:row>
    <x:row r="6" ht="22" customHeight="1">
      <x:c r="C6" s="84" t="str">
        <x:v>Discount rate</x:v>
      </x:c>
      <x:c r="D6" s="69"/>
      <x:c r="E6" s="203" t="n">
        <x:f>Sources!$D$76</x:f>
        <x:v>0.12140000000000001</x:v>
      </x:c>
      <x:c r="F6" s="69"/>
      <x:c r="G6" s="69"/>
      <x:c r="H6" s="69"/>
      <x:c r="I6" s="69"/>
      <x:c r="J6" s="69"/>
      <x:c r="K6" s="69"/>
      <x:c r="L6" s="69"/>
      <x:c r="M6" s="69"/>
      <x:c r="N6" s="69"/>
      <x:c r="O6" s="69"/>
    </x:row>
    <x:row r="7" ht="22" customHeight="1">
      <x:c r="C7" s="84" t="str">
        <x:v>Terminal growth</x:v>
      </x:c>
      <x:c r="D7" s="73"/>
      <x:c r="E7" s="180" t="n">
        <x:f>Sources!$D$77</x:f>
        <x:v>0.03</x:v>
      </x:c>
      <x:c r="F7" s="73"/>
      <x:c r="G7" s="73"/>
      <x:c r="H7" s="73"/>
      <x:c r="I7" s="73"/>
      <x:c r="J7" s="73"/>
      <x:c r="K7" s="73"/>
      <x:c r="L7" s="73"/>
      <x:c r="M7" s="73"/>
      <x:c r="N7" s="73"/>
      <x:c r="O7" s="73"/>
    </x:row>
    <x:row r="8" ht="22" customHeight="1">
      <x:c r="C8" s="84" t="str">
        <x:v>Reference price</x:v>
      </x:c>
      <x:c r="D8" s="73"/>
      <x:c r="E8" s="91" t="n">
        <x:f>Sources!$D$71</x:f>
        <x:v>84.27</x:v>
      </x:c>
      <x:c r="F8" s="73"/>
      <x:c r="G8" s="73"/>
      <x:c r="H8" s="73"/>
      <x:c r="I8" s="73"/>
      <x:c r="J8" s="73"/>
      <x:c r="K8" s="73"/>
      <x:c r="L8" s="73"/>
      <x:c r="M8" s="73"/>
      <x:c r="N8" s="73"/>
      <x:c r="O8" s="73"/>
    </x:row>
    <x:row r="9" ht="22" customHeight="1">
      <x:c r="C9" s="84" t="str">
        <x:v>Valuation date</x:v>
      </x:c>
      <x:c r="D9" s="73"/>
      <x:c r="E9" s="204" t="n">
        <x:f>Sources!$D$72</x:f>
        <x:v>46308</x:v>
      </x:c>
      <x:c r="F9" s="73"/>
      <x:c r="G9" s="73"/>
      <x:c r="H9" s="73"/>
      <x:c r="I9" s="73"/>
      <x:c r="J9" s="73"/>
      <x:c r="K9" s="73"/>
      <x:c r="L9" s="73"/>
      <x:c r="M9" s="73"/>
      <x:c r="N9" s="73"/>
      <x:c r="O9" s="73"/>
    </x:row>
    <x:row r="10" ht="22" customHeight="1">
      <x:c r="C10" s="84" t="str">
        <x:v>Uniform growth override (enter =-1 for case path)</x:v>
      </x:c>
      <x:c r="D10" s="73"/>
      <x:c r="E10" s="174" t="n">
        <x:v>-1</x:v>
      </x:c>
      <x:c r="F10" s="73"/>
      <x:c r="G10" s="73"/>
      <x:c r="H10" s="73"/>
      <x:c r="I10" s="73"/>
      <x:c r="J10" s="73"/>
      <x:c r="K10" s="73"/>
      <x:c r="L10" s="73"/>
      <x:c r="M10" s="73"/>
      <x:c r="N10" s="73"/>
      <x:c r="O10" s="73"/>
    </x:row>
    <x:row r="11" ht="22" customHeight="1">
      <x:c r="C11" s="69"/>
      <x:c r="D11" s="73"/>
      <x:c r="E11" s="73"/>
      <x:c r="F11" s="73"/>
      <x:c r="G11" s="73"/>
      <x:c r="H11" s="73"/>
      <x:c r="I11" s="73"/>
      <x:c r="J11" s="73"/>
      <x:c r="K11" s="73"/>
      <x:c r="L11" s="73"/>
      <x:c r="M11" s="73"/>
      <x:c r="N11" s="73"/>
      <x:c r="O11" s="73"/>
    </x:row>
    <x:row r="12" ht="22" customHeight="1">
      <x:c r="C12" s="84" t="str">
        <x:v>Core enterprise value</x:v>
      </x:c>
      <x:c r="D12" s="73"/>
      <x:c r="E12" s="93" t="n">
        <x:f>E38</x:f>
        <x:v>5244.906941444107</x:v>
      </x:c>
      <x:c r="F12" s="73"/>
      <x:c r="G12" s="73"/>
      <x:c r="H12" s="73"/>
      <x:c r="I12" s="73"/>
      <x:c r="J12" s="73"/>
      <x:c r="K12" s="73"/>
      <x:c r="L12" s="73"/>
      <x:c r="M12" s="73"/>
      <x:c r="N12" s="73"/>
      <x:c r="O12" s="73"/>
    </x:row>
    <x:row r="13" ht="22" customHeight="1">
      <x:c r="C13" s="84" t="str">
        <x:v>Modeled excess corporate cash</x:v>
      </x:c>
      <x:c r="D13" s="73"/>
      <x:c r="E13" s="93" t="n">
        <x:f>E44</x:f>
        <x:v>2209.4103359043465</x:v>
      </x:c>
      <x:c r="F13" s="73"/>
      <x:c r="G13" s="73"/>
      <x:c r="H13" s="73"/>
      <x:c r="I13" s="73"/>
      <x:c r="J13" s="73"/>
      <x:c r="K13" s="73"/>
      <x:c r="L13" s="73"/>
      <x:c r="M13" s="73"/>
      <x:c r="N13" s="73"/>
      <x:c r="O13" s="73"/>
    </x:row>
    <x:row r="14" ht="22" customHeight="1">
      <x:c r="C14" s="84" t="str">
        <x:v>Conditional equity value, limited liability floor</x:v>
      </x:c>
      <x:c r="D14" s="73"/>
      <x:c r="E14" s="93" t="n">
        <x:f>E50</x:f>
        <x:v>7851.8050573309465</x:v>
      </x:c>
      <x:c r="F14" s="73"/>
      <x:c r="G14" s="73"/>
      <x:c r="H14" s="73"/>
      <x:c r="I14" s="73"/>
      <x:c r="J14" s="73"/>
      <x:c r="K14" s="73"/>
      <x:c r="L14" s="73"/>
      <x:c r="M14" s="73"/>
      <x:c r="N14" s="73"/>
      <x:c r="O14" s="73"/>
    </x:row>
    <x:row r="15" ht="22" customHeight="1">
      <x:c r="C15" s="84" t="str">
        <x:v>Conditional benchmark diluted claims</x:v>
      </x:c>
      <x:c r="D15" s="73"/>
      <x:c r="E15" s="95" t="n">
        <x:f>E54</x:f>
        <x:v>284.0072031205649</x:v>
      </x:c>
      <x:c r="F15" s="73"/>
      <x:c r="G15" s="73"/>
      <x:c r="H15" s="73"/>
      <x:c r="I15" s="73"/>
      <x:c r="J15" s="73"/>
      <x:c r="K15" s="73"/>
      <x:c r="L15" s="73"/>
      <x:c r="M15" s="73"/>
      <x:c r="N15" s="73"/>
      <x:c r="O15" s="73"/>
    </x:row>
    <x:row r="16" ht="22" customHeight="1">
      <x:c r="C16" s="84" t="str">
        <x:v>Price per benchmark claim</x:v>
      </x:c>
      <x:c r="D16" s="73"/>
      <x:c r="E16" s="91" t="n">
        <x:f>E55</x:f>
        <x:v>27.64649970514216</x:v>
      </x:c>
      <x:c r="F16" s="73"/>
      <x:c r="G16" s="73"/>
      <x:c r="H16" s="73"/>
      <x:c r="I16" s="73"/>
      <x:c r="J16" s="73"/>
      <x:c r="K16" s="73"/>
      <x:c r="L16" s="73"/>
      <x:c r="M16" s="73"/>
      <x:c r="N16" s="73"/>
      <x:c r="O16" s="73"/>
    </x:row>
    <x:row r="17" ht="22" customHeight="1">
      <x:c r="C17" s="69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</x:row>
    <x:row r="18" ht="22" customHeight="1">
      <x:c r="C18" s="84" t="str">
        <x:v>Locked report Base reverse growth</x:v>
      </x:c>
      <x:c r="D18" s="73"/>
      <x:c r="E18" s="97" t="n">
        <x:f>Sources!$D$107</x:f>
        <x:v>0.43195163166319606</x:v>
      </x:c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</x:row>
    <x:row r="19" ht="22" customHeight="1">
      <x:c r="C19" s="69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</x:row>
    <x:row r="20" ht="22" customHeight="1">
      <x:c r="C20" s="177" t="str">
        <x:v>Type 30 in E10 and confirm 30.00% is displayed, then Goal Seek E16 to E8 by changing E10.</x:v>
      </x:c>
      <x:c r="D20" s="80"/>
      <x:c r="E20" s="80"/>
      <x:c r="F20" s="80"/>
      <x:c r="G20" s="80"/>
      <x:c r="H20" s="80"/>
      <x:c r="I20" s="80"/>
      <x:c r="J20" s="80"/>
      <x:c r="K20" s="80"/>
      <x:c r="L20" s="80"/>
      <x:c r="M20" s="80"/>
      <x:c r="N20" s="80"/>
      <x:c r="O20" s="73"/>
    </x:row>
    <x:row r="21" ht="22" customHeight="1">
      <x:c r="C21" s="177" t="str">
        <x:v>Enter =-1 in E10 to restore the case path. E18 contains the locked report result.</x:v>
      </x:c>
      <x:c r="D21" s="80"/>
      <x:c r="E21" s="80"/>
      <x:c r="F21" s="80"/>
      <x:c r="G21" s="80"/>
      <x:c r="H21" s="80"/>
      <x:c r="I21" s="80"/>
      <x:c r="J21" s="80"/>
      <x:c r="K21" s="80"/>
      <x:c r="L21" s="80"/>
      <x:c r="M21" s="80"/>
      <x:c r="N21" s="80"/>
      <x:c r="O21" s="73"/>
    </x:row>
    <x:row r="22" ht="22" customHeight="1">
      <x:c r="C22" s="79"/>
      <x:c r="D22" s="80"/>
      <x:c r="E22" s="80"/>
      <x:c r="F22" s="80"/>
      <x:c r="G22" s="80"/>
      <x:c r="H22" s="80"/>
      <x:c r="I22" s="80"/>
      <x:c r="J22" s="80"/>
      <x:c r="K22" s="80"/>
      <x:c r="L22" s="80"/>
      <x:c r="M22" s="80"/>
      <x:c r="N22" s="80"/>
      <x:c r="O22" s="73"/>
    </x:row>
    <x:row r="23" ht="22" customHeight="1">
      <x:c r="C23" s="177" t="str">
        <x:v>Claims use the June portfolio plus conditional acquisition commitments.</x:v>
      </x:c>
      <x:c r="D23" s="80"/>
      <x:c r="E23" s="80"/>
      <x:c r="F23" s="80"/>
      <x:c r="G23" s="80"/>
      <x:c r="H23" s="80"/>
      <x:c r="I23" s="80"/>
      <x:c r="J23" s="80"/>
      <x:c r="K23" s="80"/>
      <x:c r="L23" s="80"/>
      <x:c r="M23" s="80"/>
      <x:c r="N23" s="80"/>
      <x:c r="O23" s="73"/>
    </x:row>
    <x:row r="24" ht="22" customHeight="1">
      <x:c r="C24" s="177" t="str">
        <x:v>October point dilution remains unknown. Downside zero is a continuing-business DCF floor.</x:v>
      </x:c>
      <x:c r="D24" s="80"/>
      <x:c r="E24" s="80"/>
      <x:c r="F24" s="80"/>
      <x:c r="G24" s="80"/>
      <x:c r="H24" s="80"/>
      <x:c r="I24" s="80"/>
      <x:c r="J24" s="80"/>
      <x:c r="K24" s="80"/>
      <x:c r="L24" s="80"/>
      <x:c r="M24" s="80"/>
      <x:c r="N24" s="80"/>
      <x:c r="O24" s="73"/>
    </x:row>
    <x:row r="25" ht="22" customHeight="1">
      <x:c r="C25" s="69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</x:row>
    <x:row r="26" ht="22" customHeight="1">
      <x:c r="C26" s="69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</x:row>
    <x:row r="27" ht="22" customHeight="1">
      <x:c r="C27" s="69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</x:row>
    <x:row r="28" ht="22" customHeight="1">
      <x:c r="C28" s="107"/>
      <x:c r="D28" s="178" t="str">
        <x:v>Q3:26</x:v>
      </x:c>
      <x:c r="E28" s="178" t="str">
        <x:v>Q4:26</x:v>
      </x:c>
      <x:c r="F28" s="178" t="str">
        <x:v>Q1:27</x:v>
      </x:c>
      <x:c r="G28" s="178" t="str">
        <x:v>Q2:27</x:v>
      </x:c>
      <x:c r="H28" s="178" t="str">
        <x:v>Q3:27</x:v>
      </x:c>
      <x:c r="I28" s="178" t="str">
        <x:v>Q4:27</x:v>
      </x:c>
      <x:c r="J28" s="178" t="str">
        <x:v>Q1:28</x:v>
      </x:c>
      <x:c r="K28" s="178" t="str">
        <x:v>Q2:28</x:v>
      </x:c>
      <x:c r="L28" s="178" t="str">
        <x:v>H2:28</x:v>
      </x:c>
      <x:c r="M28" s="178" t="str">
        <x:v>FY:29</x:v>
      </x:c>
      <x:c r="N28" s="178" t="str">
        <x:v>FY:30</x:v>
      </x:c>
      <x:c r="O28" s="178" t="str">
        <x:v>FY:31</x:v>
      </x:c>
    </x:row>
    <x:row r="29" ht="22" customHeight="1">
      <x:c r="C29" s="84" t="str">
        <x:v>Remaining period share after valuation date</x:v>
      </x:c>
      <x:c r="D29" s="180" t="n">
        <x:f>IF((Model!D$5+Model!D8-1)&lt;=$E$9,0,((Model!D$5+Model!D8-1)-MAX(Model!D$5,$E$9+1)+1)/Model!D8)</x:f>
        <x:v>0</x:v>
      </x:c>
      <x:c r="E29" s="180" t="n">
        <x:f>IF((Model!E$5+Model!E8-1)&lt;=$E$9,0,((Model!E$5+Model!E8-1)-MAX(Model!E$5,$E$9+1)+1)/Model!E8)</x:f>
        <x:v>0.8586956521739131</x:v>
      </x:c>
      <x:c r="F29" s="180" t="n">
        <x:f>IF((Model!F$5+Model!F8-1)&lt;=$E$9,0,((Model!F$5+Model!F8-1)-MAX(Model!F$5,$E$9+1)+1)/Model!F8)</x:f>
        <x:v>1</x:v>
      </x:c>
      <x:c r="G29" s="180" t="n">
        <x:f>IF((Model!G$5+Model!G8-1)&lt;=$E$9,0,((Model!G$5+Model!G8-1)-MAX(Model!G$5,$E$9+1)+1)/Model!G8)</x:f>
        <x:v>1</x:v>
      </x:c>
      <x:c r="H29" s="180" t="n">
        <x:f>IF((Model!H$5+Model!H8-1)&lt;=$E$9,0,((Model!H$5+Model!H8-1)-MAX(Model!H$5,$E$9+1)+1)/Model!H8)</x:f>
        <x:v>1</x:v>
      </x:c>
      <x:c r="I29" s="180" t="n">
        <x:f>IF((Model!I$5+Model!I8-1)&lt;=$E$9,0,((Model!I$5+Model!I8-1)-MAX(Model!I$5,$E$9+1)+1)/Model!I8)</x:f>
        <x:v>1</x:v>
      </x:c>
      <x:c r="J29" s="180" t="n">
        <x:f>IF((Model!J$5+Model!J8-1)&lt;=$E$9,0,((Model!J$5+Model!J8-1)-MAX(Model!J$5,$E$9+1)+1)/Model!J8)</x:f>
        <x:v>1</x:v>
      </x:c>
      <x:c r="K29" s="180" t="n">
        <x:f>IF((Model!K$5+Model!K8-1)&lt;=$E$9,0,((Model!K$5+Model!K8-1)-MAX(Model!K$5,$E$9+1)+1)/Model!K8)</x:f>
        <x:v>1</x:v>
      </x:c>
      <x:c r="L29" s="180" t="n">
        <x:f>IF((Model!L$5+Model!L8-1)&lt;=$E$9,0,((Model!L$5+Model!L8-1)-MAX(Model!L$5,$E$9+1)+1)/Model!L8)</x:f>
        <x:v>1</x:v>
      </x:c>
      <x:c r="M29" s="180" t="n">
        <x:f>IF((Model!M$5+Model!M8-1)&lt;=$E$9,0,((Model!M$5+Model!M8-1)-MAX(Model!M$5,$E$9+1)+1)/Model!M8)</x:f>
        <x:v>1</x:v>
      </x:c>
      <x:c r="N29" s="180" t="n">
        <x:f>IF((Model!N$5+Model!N8-1)&lt;=$E$9,0,((Model!N$5+Model!N8-1)-MAX(Model!N$5,$E$9+1)+1)/Model!N8)</x:f>
        <x:v>1</x:v>
      </x:c>
      <x:c r="O29" s="180" t="n">
        <x:f>IF((Model!O$5+Model!O8-1)&lt;=$E$9,0,((Model!O$5+Model!O8-1)-MAX(Model!O$5,$E$9+1)+1)/Model!O8)</x:f>
        <x:v>1</x:v>
      </x:c>
    </x:row>
    <x:row r="30" ht="22" customHeight="1">
      <x:c r="C30" s="84" t="str">
        <x:v>Midpoint discount years</x:v>
      </x:c>
      <x:c r="D30" s="95" t="n">
        <x:f>IF(D29=0,0,(MAX(Model!D$5,$E$9+1)+INT((D29*Model!D8-1)/2)-$E$9)/365)</x:f>
        <x:v>0</x:v>
      </x:c>
      <x:c r="E30" s="95" t="n">
        <x:f>IF(E29=0,0,(MAX(Model!E$5,$E$9+1)+INT((E29*Model!E8-1)/2)-$E$9)/365)</x:f>
        <x:v>0.1095890410958904</x:v>
      </x:c>
      <x:c r="F30" s="95" t="n">
        <x:f>IF(F29=0,0,(MAX(Model!F$5,$E$9+1)+INT((F29*Model!F8-1)/2)-$E$9)/365)</x:f>
        <x:v>0.33972602739726027</x:v>
      </x:c>
      <x:c r="G30" s="95" t="n">
        <x:f>IF(G29=0,0,(MAX(Model!G$5,$E$9+1)+INT((G29*Model!G8-1)/2)-$E$9)/365)</x:f>
        <x:v>0.589041095890411</x:v>
      </x:c>
      <x:c r="H30" s="95" t="n">
        <x:f>IF(H29=0,0,(MAX(Model!H$5,$E$9+1)+INT((H29*Model!H8-1)/2)-$E$9)/365)</x:f>
        <x:v>0.8383561643835616</x:v>
      </x:c>
      <x:c r="I30" s="95" t="n">
        <x:f>IF(I29=0,0,(MAX(Model!I$5,$E$9+1)+INT((I29*Model!I8-1)/2)-$E$9)/365)</x:f>
        <x:v>1.0904109589041096</x:v>
      </x:c>
      <x:c r="J30" s="95" t="n">
        <x:f>IF(J29=0,0,(MAX(Model!J$5,$E$9+1)+INT((J29*Model!J8-1)/2)-$E$9)/365)</x:f>
        <x:v>1.3424657534246576</x:v>
      </x:c>
      <x:c r="K30" s="95" t="n">
        <x:f>IF(K29=0,0,(MAX(Model!K$5,$E$9+1)+INT((K29*Model!K8-1)/2)-$E$9)/365)</x:f>
        <x:v>1.5917808219178082</x:v>
      </x:c>
      <x:c r="L30" s="95" t="n">
        <x:f>IF(L29=0,0,(MAX(Model!L$5,$E$9+1)+INT((L29*Model!L8-1)/2)-$E$9)/365)</x:f>
        <x:v>1.9671232876712328</x:v>
      </x:c>
      <x:c r="M30" s="95" t="n">
        <x:f>IF(M29=0,0,(MAX(Model!M$5,$E$9+1)+INT((M29*Model!M8-1)/2)-$E$9)/365)</x:f>
        <x:v>2.7205479452054795</x:v>
      </x:c>
      <x:c r="N30" s="95" t="n">
        <x:f>IF(N29=0,0,(MAX(Model!N$5,$E$9+1)+INT((N29*Model!N8-1)/2)-$E$9)/365)</x:f>
        <x:v>3.7205479452054795</x:v>
      </x:c>
      <x:c r="O30" s="95" t="n">
        <x:f>IF(O29=0,0,(MAX(Model!O$5,$E$9+1)+INT((O29*Model!O8-1)/2)-$E$9)/365)</x:f>
        <x:v>4.720547945205479</x:v>
      </x:c>
    </x:row>
    <x:row r="31" ht="22" customHeight="1">
      <x:c r="C31" s="84" t="str">
        <x:v>Remaining economic free cash flow</x:v>
      </x:c>
      <x:c r="D31" s="95" t="n">
        <x:f>Model!D135*D29</x:f>
        <x:v>0</x:v>
      </x:c>
      <x:c r="E31" s="95" t="n">
        <x:f>Model!E135*E29</x:f>
        <x:v>46.863897516674676</x:v>
      </x:c>
      <x:c r="F31" s="95" t="n">
        <x:f>Model!F135*F29</x:f>
        <x:v>47.71487980750763</x:v>
      </x:c>
      <x:c r="G31" s="95" t="n">
        <x:f>Model!G135*G29</x:f>
        <x:v>42.532601557015376</x:v>
      </x:c>
      <x:c r="H31" s="95" t="n">
        <x:f>Model!H135*H29</x:f>
        <x:v>51.45269577585006</x:v>
      </x:c>
      <x:c r="I31" s="95" t="n">
        <x:f>Model!I135*I29</x:f>
        <x:v>60.491681079324</x:v>
      </x:c>
      <x:c r="J31" s="95" t="n">
        <x:f>Model!J135*J29</x:f>
        <x:v>60.623574511136084</x:v>
      </x:c>
      <x:c r="K31" s="95" t="n">
        <x:f>Model!K135*K29</x:f>
        <x:v>63.45476228784443</x:v>
      </x:c>
      <x:c r="L31" s="95" t="n">
        <x:f>Model!L135*L29</x:f>
        <x:v>157.19426568797678</x:v>
      </x:c>
      <x:c r="M31" s="95" t="n">
        <x:f>Model!M135*M29</x:f>
        <x:v>392.3965430497245</x:v>
      </x:c>
      <x:c r="N31" s="95" t="n">
        <x:f>Model!N135*N29</x:f>
        <x:v>457.3127482733898</x:v>
      </x:c>
      <x:c r="O31" s="95" t="n">
        <x:f>Model!O135*O29</x:f>
        <x:v>619.0394606902908</x:v>
      </x:c>
    </x:row>
    <x:row r="32" ht="22" customHeight="1">
      <x:c r="C32" s="84" t="str">
        <x:v>Present value of free cash flow</x:v>
      </x:c>
      <x:c r="D32" s="95" t="n">
        <x:f>IF(D29=0,0,D31/(1+$E$6)^D30)</x:f>
        <x:v>0</x:v>
      </x:c>
      <x:c r="E32" s="95" t="n">
        <x:f>IF(E29=0,0,E31/(1+$E$6)^E30)</x:f>
        <x:v>46.27913078764956</x:v>
      </x:c>
      <x:c r="F32" s="95" t="n">
        <x:f>IF(F29=0,0,F31/(1+$E$6)^F30)</x:f>
        <x:v>45.89325693341058</x:v>
      </x:c>
      <x:c r="G32" s="95" t="n">
        <x:f>IF(G29=0,0,G31/(1+$E$6)^G30)</x:f>
        <x:v>39.756755755335845</x:v>
      </x:c>
      <x:c r="H32" s="95" t="n">
        <x:f>IF(H29=0,0,H31/(1+$E$6)^H30)</x:f>
        <x:v>46.740254037973095</x:v>
      </x:c>
      <x:c r="I32" s="95" t="n">
        <x:f>IF(I29=0,0,I31/(1+$E$6)^I30)</x:f>
        <x:v>53.38708430799027</x:v>
      </x:c>
      <x:c r="J32" s="95" t="n">
        <x:f>IF(J29=0,0,J31/(1+$E$6)^J30)</x:f>
        <x:v>51.9804102995431</x:v>
      </x:c>
      <x:c r="K32" s="95" t="n">
        <x:f>IF(K29=0,0,K31/(1+$E$6)^K30)</x:f>
        <x:v>52.87572430820886</x:v>
      </x:c>
      <x:c r="L32" s="95" t="n">
        <x:f>IF(L29=0,0,L31/(1+$E$6)^L30)</x:f>
        <x:v>125.4733690080474</x:v>
      </x:c>
      <x:c r="M32" s="95" t="n">
        <x:f>IF(M29=0,0,M31/(1+$E$6)^M30)</x:f>
        <x:v>287.3089836345855</x:v>
      </x:c>
      <x:c r="N32" s="95" t="n">
        <x:f>IF(N29=0,0,N31/(1+$E$6)^N30)</x:f>
        <x:v>298.59105243886194</x:v>
      </x:c>
      <x:c r="O32" s="95" t="n">
        <x:f>IF(O29=0,0,O31/(1+$E$6)^O30)</x:f>
        <x:v>360.43027536952576</x:v>
      </x:c>
    </x:row>
    <x:row r="33" ht="22" customHeight="1">
      <x:c r="C33" s="69"/>
      <x:c r="D33" s="73"/>
      <x:c r="E33" s="73"/>
      <x:c r="F33" s="73"/>
      <x:c r="G33" s="73"/>
      <x:c r="H33" s="73"/>
      <x:c r="I33" s="73"/>
      <x:c r="J33" s="73"/>
      <x:c r="K33" s="73"/>
      <x:c r="L33" s="73"/>
      <x:c r="M33" s="73"/>
      <x:c r="N33" s="73"/>
      <x:c r="O33" s="73"/>
    </x:row>
    <x:row r="34" ht="22" customHeight="1">
      <x:c r="C34" s="84" t="str">
        <x:v>Explicit forecast present value</x:v>
      </x:c>
      <x:c r="D34" s="73"/>
      <x:c r="E34" s="95" t="n">
        <x:f>SUM(D32:O32)</x:f>
        <x:v>1408.716296881132</x:v>
      </x:c>
      <x:c r="F34" s="73"/>
      <x:c r="G34" s="73"/>
      <x:c r="H34" s="73"/>
      <x:c r="I34" s="73"/>
      <x:c r="J34" s="73"/>
      <x:c r="K34" s="73"/>
      <x:c r="L34" s="73"/>
      <x:c r="M34" s="73"/>
      <x:c r="N34" s="73"/>
      <x:c r="O34" s="73"/>
    </x:row>
    <x:row r="35" ht="22" customHeight="1">
      <x:c r="C35" s="84" t="str">
        <x:v>Terminal value, before discount</x:v>
      </x:c>
      <x:c r="D35" s="73"/>
      <x:c r="E35" s="95" t="n">
        <x:f>IF(AND(ISNUMBER(E6),ISNUMBER(E7),E6&gt;0,E6&gt;E7,E7&gt;-1),Model!O135*(1+E7)/(E6-E7),NA())</x:f>
        <x:v>6976.046438851197</x:v>
      </x:c>
      <x:c r="F35" s="73"/>
      <x:c r="G35" s="73"/>
      <x:c r="H35" s="73"/>
      <x:c r="I35" s="73"/>
      <x:c r="J35" s="73"/>
      <x:c r="K35" s="73"/>
      <x:c r="L35" s="73"/>
      <x:c r="M35" s="73"/>
      <x:c r="N35" s="73"/>
      <x:c r="O35" s="73"/>
    </x:row>
    <x:row r="36" ht="22" customHeight="1">
      <x:c r="C36" s="84" t="str">
        <x:v>Terminal discount years</x:v>
      </x:c>
      <x:c r="D36" s="73"/>
      <x:c r="E36" s="95" t="n">
        <x:f>(Model!O5+Model!O8-1-E9)/365</x:f>
        <x:v>5.219178082191781</x:v>
      </x:c>
      <x:c r="F36" s="73"/>
      <x:c r="G36" s="73"/>
      <x:c r="H36" s="73"/>
      <x:c r="I36" s="73"/>
      <x:c r="J36" s="73"/>
      <x:c r="K36" s="73"/>
      <x:c r="L36" s="73"/>
      <x:c r="M36" s="73"/>
      <x:c r="N36" s="73"/>
      <x:c r="O36" s="73"/>
    </x:row>
    <x:row r="37" ht="22" customHeight="1">
      <x:c r="C37" s="84" t="str">
        <x:v>Terminal present value</x:v>
      </x:c>
      <x:c r="D37" s="73"/>
      <x:c r="E37" s="95" t="n">
        <x:f>E35/(1+E6)^E36</x:f>
        <x:v>3836.1906445629756</x:v>
      </x:c>
      <x:c r="F37" s="73"/>
      <x:c r="G37" s="73"/>
      <x:c r="H37" s="73"/>
      <x:c r="I37" s="73"/>
      <x:c r="J37" s="73"/>
      <x:c r="K37" s="73"/>
      <x:c r="L37" s="73"/>
      <x:c r="M37" s="73"/>
      <x:c r="N37" s="73"/>
      <x:c r="O37" s="73"/>
    </x:row>
    <x:row r="38" ht="22" customHeight="1">
      <x:c r="C38" s="84" t="str">
        <x:v>Core enterprise value</x:v>
      </x:c>
      <x:c r="D38" s="73"/>
      <x:c r="E38" s="95" t="n">
        <x:f>SUM(E34,E37)</x:f>
        <x:v>5244.906941444107</x:v>
      </x:c>
      <x:c r="F38" s="73"/>
      <x:c r="G38" s="73"/>
      <x:c r="H38" s="73"/>
      <x:c r="I38" s="73"/>
      <x:c r="J38" s="73"/>
      <x:c r="K38" s="73"/>
      <x:c r="L38" s="73"/>
      <x:c r="M38" s="73"/>
      <x:c r="N38" s="73"/>
      <x:c r="O38" s="73"/>
    </x:row>
    <x:row r="39" ht="22" customHeight="1">
      <x:c r="C39" s="69"/>
      <x:c r="D39" s="73"/>
      <x:c r="E39" s="73"/>
      <x:c r="F39" s="73"/>
      <x:c r="G39" s="73"/>
      <x:c r="H39" s="73"/>
      <x:c r="I39" s="73"/>
      <x:c r="J39" s="73"/>
      <x:c r="K39" s="73"/>
      <x:c r="L39" s="73"/>
      <x:c r="M39" s="73"/>
      <x:c r="N39" s="73"/>
      <x:c r="O39" s="73"/>
    </x:row>
    <x:row r="40" ht="22" customHeight="1">
      <x:c r="C40" s="84" t="str">
        <x:v>Modeled corporate bank cash at valuation date</x:v>
      </x:c>
      <x:c r="D40" s="73"/>
      <x:c r="E40" s="95" t="n">
        <x:f>Model!D99+SUM(Model!E86,Model!E87,Model!E92)*(E9-Model!E5+1)/Model!E8</x:f>
        <x:v>1896.5848258294575</x:v>
      </x:c>
      <x:c r="F40" s="73"/>
      <x:c r="G40" s="73"/>
      <x:c r="H40" s="73"/>
      <x:c r="I40" s="73"/>
      <x:c r="J40" s="73"/>
      <x:c r="K40" s="73"/>
      <x:c r="L40" s="73"/>
      <x:c r="M40" s="73"/>
      <x:c r="N40" s="73"/>
      <x:c r="O40" s="73"/>
    </x:row>
    <x:row r="41" ht="22" customHeight="1">
      <x:c r="C41" s="84" t="str">
        <x:v>Corporate-owned USDC</x:v>
      </x:c>
      <x:c r="D41" s="73"/>
      <x:c r="E41" s="95" t="n">
        <x:f>Model!D100</x:f>
        <x:v>889.311</x:v>
      </x:c>
      <x:c r="F41" s="73"/>
      <x:c r="G41" s="73"/>
      <x:c r="H41" s="73"/>
      <x:c r="I41" s="73"/>
      <x:c r="J41" s="73"/>
      <x:c r="K41" s="73"/>
      <x:c r="L41" s="73"/>
      <x:c r="M41" s="73"/>
      <x:c r="N41" s="73"/>
      <x:c r="O41" s="73"/>
    </x:row>
    <x:row r="42" ht="22" customHeight="1">
      <x:c r="C42" s="84" t="str">
        <x:v>Operating liquidity buffer</x:v>
      </x:c>
      <x:c r="D42" s="73"/>
      <x:c r="E42" s="95" t="n">
        <x:f>Model!E40*Sources!$D$78</x:f>
        <x:v>355.5084629191726</x:v>
      </x:c>
      <x:c r="F42" s="73"/>
      <x:c r="G42" s="73"/>
      <x:c r="H42" s="73"/>
      <x:c r="I42" s="73"/>
      <x:c r="J42" s="73"/>
      <x:c r="K42" s="73"/>
      <x:c r="L42" s="73"/>
      <x:c r="M42" s="73"/>
      <x:c r="N42" s="73"/>
      <x:c r="O42" s="73"/>
    </x:row>
    <x:row r="43" ht="22" customHeight="1">
      <x:c r="C43" s="84" t="str">
        <x:v>Presale cash reserve</x:v>
      </x:c>
      <x:c r="D43" s="73"/>
      <x:c r="E43" s="95" t="n">
        <x:f>Sources!$D$39</x:f>
        <x:v>222</x:v>
      </x:c>
      <x:c r="F43" s="73"/>
      <x:c r="G43" s="73"/>
      <x:c r="H43" s="73"/>
      <x:c r="I43" s="73"/>
      <x:c r="J43" s="73"/>
      <x:c r="K43" s="73"/>
      <x:c r="L43" s="73"/>
      <x:c r="M43" s="73"/>
      <x:c r="N43" s="73"/>
      <x:c r="O43" s="73"/>
    </x:row>
    <x:row r="44" ht="22" customHeight="1">
      <x:c r="C44" s="84" t="str">
        <x:v>Modeled excess corporate cash</x:v>
      </x:c>
      <x:c r="D44" s="73"/>
      <x:c r="E44" s="95" t="n">
        <x:f>E40+E41+E57-E42-E43</x:f>
        <x:v>2209.4103359043465</x:v>
      </x:c>
      <x:c r="F44" s="73"/>
      <x:c r="G44" s="73"/>
      <x:c r="H44" s="73"/>
      <x:c r="I44" s="73"/>
      <x:c r="J44" s="73"/>
      <x:c r="K44" s="73"/>
      <x:c r="L44" s="73"/>
      <x:c r="M44" s="73"/>
      <x:c r="N44" s="73"/>
      <x:c r="O44" s="73"/>
    </x:row>
    <x:row r="45" ht="22" customHeight="1">
      <x:c r="C45" s="84" t="str">
        <x:v>Investment value after haircut</x:v>
      </x:c>
      <x:c r="D45" s="73"/>
      <x:c r="E45" s="95" t="n">
        <x:f>Sources!$D$14*(1-Sources!$D$79)</x:f>
        <x:v>51.8785</x:v>
      </x:c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</x:row>
    <x:row r="46" ht="22" customHeight="1">
      <x:c r="C46" s="84" t="str">
        <x:v>Conditional acquired-business value</x:v>
      </x:c>
      <x:c r="D46" s="73"/>
      <x:c r="E46" s="95" t="n">
        <x:f>Sources!$D$86*Sources!$D$80/(1+E6)^((Sources!$D$88-E9)/365)</x:f>
        <x:v>368.64989864799315</x:v>
      </x:c>
      <x:c r="F46" s="73"/>
      <x:c r="G46" s="73"/>
      <x:c r="H46" s="73"/>
      <x:c r="I46" s="73"/>
      <x:c r="J46" s="73"/>
      <x:c r="K46" s="73"/>
      <x:c r="L46" s="73"/>
      <x:c r="M46" s="73"/>
      <x:c r="N46" s="73"/>
      <x:c r="O46" s="73"/>
    </x:row>
    <x:row r="47" ht="22" customHeight="1">
      <x:c r="C47" s="84" t="str">
        <x:v>Conditional employee incentive claim</x:v>
      </x:c>
      <x:c r="D47" s="73"/>
      <x:c r="E47" s="95" t="n">
        <x:f>Sources!$D$86*Sources!$D$54/(1+E6)^((Sources!$D$88-E9)/365)</x:f>
        <x:v>23.040618665499572</x:v>
      </x:c>
      <x:c r="F47" s="73"/>
      <x:c r="G47" s="73"/>
      <x:c r="H47" s="73"/>
      <x:c r="I47" s="73"/>
      <x:c r="J47" s="73"/>
      <x:c r="K47" s="73"/>
      <x:c r="L47" s="73"/>
      <x:c r="M47" s="73"/>
      <x:c r="N47" s="73"/>
      <x:c r="O47" s="73"/>
    </x:row>
    <x:row r="48" ht="22" customHeight="1">
      <x:c r="C48" s="84" t="str">
        <x:v>Debt</x:v>
      </x:c>
      <x:c r="D48" s="73"/>
      <x:c r="E48" s="95" t="n">
        <x:f>Sources!$D$23</x:f>
        <x:v>0</x:v>
      </x:c>
      <x:c r="F48" s="73"/>
      <x:c r="G48" s="73"/>
      <x:c r="H48" s="73"/>
      <x:c r="I48" s="73"/>
      <x:c r="J48" s="73"/>
      <x:c r="K48" s="73"/>
      <x:c r="L48" s="73"/>
      <x:c r="M48" s="73"/>
      <x:c r="N48" s="73"/>
      <x:c r="O48" s="73"/>
    </x:row>
    <x:row r="49" ht="22" customHeight="1">
      <x:c r="C49" s="84" t="str">
        <x:v>Unfloored equity value</x:v>
      </x:c>
      <x:c r="D49" s="73"/>
      <x:c r="E49" s="95" t="n">
        <x:f>E38+E44+E45+E46-E47-E48</x:f>
        <x:v>7851.8050573309465</x:v>
      </x:c>
      <x:c r="F49" s="73"/>
      <x:c r="G49" s="73"/>
      <x:c r="H49" s="73"/>
      <x:c r="I49" s="73"/>
      <x:c r="J49" s="73"/>
      <x:c r="K49" s="73"/>
      <x:c r="L49" s="73"/>
      <x:c r="M49" s="73"/>
      <x:c r="N49" s="73"/>
      <x:c r="O49" s="73"/>
    </x:row>
    <x:row r="50" ht="22" customHeight="1">
      <x:c r="C50" s="84" t="str">
        <x:v>Equity value, limited liability floor</x:v>
      </x:c>
      <x:c r="D50" s="73"/>
      <x:c r="E50" s="95" t="n">
        <x:f>MAX(0,E49)</x:f>
        <x:v>7851.8050573309465</x:v>
      </x:c>
      <x:c r="F50" s="73"/>
      <x:c r="G50" s="73"/>
      <x:c r="H50" s="73"/>
      <x:c r="I50" s="73"/>
      <x:c r="J50" s="73"/>
      <x:c r="K50" s="73"/>
      <x:c r="L50" s="73"/>
      <x:c r="M50" s="73"/>
      <x:c r="N50" s="73"/>
      <x:c r="O50" s="73"/>
    </x:row>
    <x:row r="51" ht="22" customHeight="1">
      <x:c r="C51" s="69"/>
      <x:c r="D51" s="73"/>
      <x:c r="E51" s="73"/>
      <x:c r="F51" s="73"/>
      <x:c r="G51" s="73"/>
      <x:c r="H51" s="73"/>
      <x:c r="I51" s="73"/>
      <x:c r="J51" s="73"/>
      <x:c r="K51" s="73"/>
      <x:c r="L51" s="73"/>
      <x:c r="M51" s="73"/>
      <x:c r="N51" s="73"/>
      <x:c r="O51" s="73"/>
    </x:row>
    <x:row r="52" ht="22" customHeight="1">
      <x:c r="C52" s="84" t="str">
        <x:v>June awards plus September financing claims</x:v>
      </x:c>
      <x:c r="D52" s="73"/>
      <x:c r="E52" s="95" t="n">
        <x:f>Sources!$D$47+Sources!$D$51+Sources!$D$49*MAX(0,1-Sources!$D$50/Sources!$D$71)+Sources!$D$100*MAX(0,1-Sources!$D$101/Sources!$D$71)+Sources!$D$102*MAX(0,1-Sources!$D$103/Sources!$D$71)+Sources!$D$104*MAX(0,1-Sources!$D$105/Sources!$D$71)+Sources!$D$52+Sources!$D$46</x:f>
        <x:v>279.26055544048893</x:v>
      </x:c>
      <x:c r="F52" s="73"/>
      <x:c r="G52" s="73"/>
      <x:c r="H52" s="73"/>
      <x:c r="I52" s="73"/>
      <x:c r="J52" s="73"/>
      <x:c r="K52" s="73"/>
      <x:c r="L52" s="73"/>
      <x:c r="M52" s="73"/>
      <x:c r="N52" s="73"/>
      <x:c r="O52" s="73"/>
    </x:row>
    <x:row r="53" ht="22" customHeight="1">
      <x:c r="C53" s="84" t="str">
        <x:v>Maximum conditional acquisition claims</x:v>
      </x:c>
      <x:c r="D53" s="73"/>
      <x:c r="E53" s="95" t="n">
        <x:f>Sources!$D$86*Sources!$D$53/Sources!$D$71</x:f>
        <x:v>4.746647680075947</x:v>
      </x:c>
      <x:c r="F53" s="73"/>
      <x:c r="G53" s="73"/>
      <x:c r="H53" s="73"/>
      <x:c r="I53" s="73"/>
      <x:c r="J53" s="73"/>
      <x:c r="K53" s="73"/>
      <x:c r="L53" s="73"/>
      <x:c r="M53" s="73"/>
      <x:c r="N53" s="73"/>
      <x:c r="O53" s="73"/>
    </x:row>
    <x:row r="54" ht="22" customHeight="1">
      <x:c r="C54" s="84" t="str">
        <x:v>Total conditional benchmark claims</x:v>
      </x:c>
      <x:c r="D54" s="73"/>
      <x:c r="E54" s="95" t="n">
        <x:f>E52+E53</x:f>
        <x:v>284.0072031205649</x:v>
      </x:c>
      <x:c r="F54" s="73"/>
      <x:c r="G54" s="73"/>
      <x:c r="H54" s="73"/>
      <x:c r="I54" s="73"/>
      <x:c r="J54" s="73"/>
      <x:c r="K54" s="73"/>
      <x:c r="L54" s="73"/>
      <x:c r="M54" s="73"/>
      <x:c r="N54" s="73"/>
      <x:c r="O54" s="73"/>
    </x:row>
    <x:row r="55" ht="22" customHeight="1">
      <x:c r="C55" s="84" t="str">
        <x:v>Value per benchmark claim</x:v>
      </x:c>
      <x:c r="D55" s="73"/>
      <x:c r="E55" s="91" t="n">
        <x:f>E50/E54</x:f>
        <x:v>27.64649970514216</x:v>
      </x:c>
      <x:c r="F55" s="73"/>
      <x:c r="G55" s="73"/>
      <x:c r="H55" s="73"/>
      <x:c r="I55" s="73"/>
      <x:c r="J55" s="73"/>
      <x:c r="K55" s="73"/>
      <x:c r="L55" s="73"/>
      <x:c r="M55" s="73"/>
      <x:c r="N55" s="73"/>
      <x:c r="O55" s="73"/>
    </x:row>
    <x:row r="56" ht="22" customHeight="1">
      <x:c r="C56" s="69"/>
      <x:c r="D56" s="73"/>
      <x:c r="E56" s="73"/>
      <x:c r="F56" s="73"/>
      <x:c r="G56" s="73"/>
      <x:c r="H56" s="73"/>
      <x:c r="I56" s="73"/>
      <x:c r="J56" s="73"/>
      <x:c r="K56" s="73"/>
      <x:c r="L56" s="73"/>
      <x:c r="M56" s="73"/>
      <x:c r="N56" s="73"/>
      <x:c r="O56" s="73"/>
    </x:row>
    <x:row r="57" ht="22" customHeight="1">
      <x:c r="C57" s="84" t="str">
        <x:v>Allocated own-reserve net working capital</x:v>
      </x:c>
      <x:c r="D57" s="73"/>
      <x:c r="E57" s="95" t="n">
        <x:f>Model!D131+(Model!E131-Model!D131)*(E9-Model!E5+1)/Model!E8</x:f>
        <x:v>1.0229729940615155</x:v>
      </x:c>
      <x:c r="F57" s="73"/>
      <x:c r="G57" s="73"/>
      <x:c r="H57" s="73"/>
      <x:c r="I57" s="73"/>
      <x:c r="J57" s="73"/>
      <x:c r="K57" s="73"/>
      <x:c r="L57" s="73"/>
      <x:c r="M57" s="73"/>
      <x:c r="N57" s="73"/>
      <x:c r="O57" s="73"/>
    </x:row>
    <x:row r="58" ht="22" customHeight="1">
      <x:c r="C58" s="69"/>
      <x:c r="D58" s="73"/>
      <x:c r="E58" s="73"/>
      <x:c r="F58" s="73"/>
      <x:c r="G58" s="73"/>
      <x:c r="H58" s="73"/>
      <x:c r="I58" s="73"/>
      <x:c r="J58" s="73"/>
      <x:c r="K58" s="73"/>
      <x:c r="L58" s="73"/>
      <x:c r="M58" s="73"/>
      <x:c r="N58" s="73"/>
      <x:c r="O58" s="73"/>
    </x:row>
    <x:row r="59" ht="24" customHeight="1">
      <x:c r="C59" s="122" t="str">
        <x:v>Live value per claim sensitivity: terminal growth and discount rate</x:v>
      </x:c>
      <x:c r="D59" s="124"/>
      <x:c r="E59" s="124"/>
      <x:c r="F59" s="124"/>
      <x:c r="G59" s="124"/>
      <x:c r="H59" s="124"/>
      <x:c r="I59" s="124"/>
      <x:c r="J59" s="124"/>
      <x:c r="K59" s="124"/>
      <x:c r="L59" s="73"/>
      <x:c r="M59" s="73"/>
      <x:c r="N59" s="73"/>
      <x:c r="O59" s="73"/>
    </x:row>
    <x:row r="60" ht="22" customHeight="1">
      <x:c r="C60" s="69"/>
      <x:c r="D60" s="73"/>
      <x:c r="E60" s="73"/>
      <x:c r="F60" s="73"/>
      <x:c r="G60" s="73"/>
      <x:c r="H60" s="73"/>
      <x:c r="I60" s="73"/>
      <x:c r="J60" s="73"/>
      <x:c r="K60" s="73"/>
      <x:c r="L60" s="73"/>
      <x:c r="M60" s="73"/>
      <x:c r="N60" s="73"/>
      <x:c r="O60" s="73"/>
    </x:row>
    <x:row r="61" ht="22" customHeight="1">
      <x:c r="C61" s="69"/>
      <x:c r="D61" s="73"/>
      <x:c r="E61" s="73"/>
      <x:c r="F61" s="73"/>
      <x:c r="G61" s="73"/>
      <x:c r="H61" s="73"/>
      <x:c r="I61" s="73"/>
      <x:c r="J61" s="73"/>
      <x:c r="K61" s="73"/>
      <x:c r="L61" s="73"/>
      <x:c r="M61" s="73"/>
      <x:c r="N61" s="73"/>
      <x:c r="O61" s="73"/>
    </x:row>
    <x:row r="62" ht="22" customHeight="1">
      <x:c r="C62" s="69"/>
      <x:c r="D62" s="73"/>
      <x:c r="E62" s="95" t="n">
        <x:f>E16</x:f>
        <x:v>27.64649970514216</x:v>
      </x:c>
      <x:c r="F62" s="180" t="n">
        <x:v>0.01</x:v>
      </x:c>
      <x:c r="G62" s="180" t="n">
        <x:v>0.02</x:v>
      </x:c>
      <x:c r="H62" s="180" t="n">
        <x:v>0.03</x:v>
      </x:c>
      <x:c r="I62" s="180" t="n">
        <x:v>0.035</x:v>
      </x:c>
      <x:c r="J62" s="180" t="n">
        <x:v>0.04</x:v>
      </x:c>
      <x:c r="K62" s="73"/>
      <x:c r="L62" s="73"/>
      <x:c r="M62" s="73"/>
      <x:c r="N62" s="73"/>
      <x:c r="O62" s="73"/>
    </x:row>
    <x:row r="63" ht="22" customHeight="1">
      <x:c r="C63" s="69"/>
      <x:c r="D63" s="73"/>
      <x:c r="E63" s="180" t="n">
        <x:v>0.09</x:v>
      </x:c>
      <x:c r="F63" s="91" t="n">
        <x:f t="dataTable" ref="F63:J68" dt2D="1" r1="E7" r2="E6"/>
        <x:v>32.1502336597949</x:v>
      </x:c>
      <x:c r="G63" s="91" t="n">
        <x:v>34.8560099833912</x:v>
      </x:c>
      <x:c r="H63" s="91" t="n">
        <x:v>38.4637117481863</x:v>
      </x:c>
      <x:c r="I63" s="91" t="n">
        <x:v>40.7595219621468</x:v>
      </x:c>
      <x:c r="J63" s="91" t="n">
        <x:v>43.5144942188994</x:v>
      </x:c>
      <x:c r="K63" s="73"/>
      <x:c r="L63" s="73"/>
      <x:c r="M63" s="73"/>
      <x:c r="N63" s="73"/>
      <x:c r="O63" s="73"/>
    </x:row>
    <x:row r="64" ht="22" customHeight="1">
      <x:c r="C64" s="69"/>
      <x:c r="D64" s="73"/>
      <x:c r="E64" s="180" t="n">
        <x:v>0.105</x:v>
      </x:c>
      <x:c r="F64" s="91" t="n">
        <x:v>28.1340977536784</x:v>
      </x:c>
      <x:c r="G64" s="91" t="n">
        <x:v>29.9054024538362</x:v>
      </x:c>
      <x:c r="H64" s="91" t="n">
        <x:v>32.149055074036</x:v>
      </x:c>
      <x:c r="I64" s="91" t="n">
        <x:v>33.5112727363002</x:v>
      </x:c>
      <x:c r="J64" s="91" t="n">
        <x:v>35.083062346605</x:v>
      </x:c>
      <x:c r="K64" s="73"/>
      <x:c r="L64" s="73"/>
      <x:c r="M64" s="73"/>
      <x:c r="N64" s="73"/>
      <x:c r="O64" s="73"/>
    </x:row>
    <x:row r="65" ht="22" customHeight="1">
      <x:c r="C65" s="69"/>
      <x:c r="D65" s="73"/>
      <x:c r="E65" s="180" t="n">
        <x:v>0.1214</x:v>
      </x:c>
      <x:c r="F65" s="91" t="n">
        <x:v>25.0062867436251</x:v>
      </x:c>
      <x:c r="G65" s="91" t="n">
        <x:v>26.1962052085297</x:v>
      </x:c>
      <x:c r="H65" s="91" t="n">
        <x:v>27.6464997051422</x:v>
      </x:c>
      <x:c r="I65" s="91" t="n">
        <x:v>28.497540572946</x:v>
      </x:c>
      <x:c r="J65" s="91" t="n">
        <x:v>29.45313191591</x:v>
      </x:c>
      <x:c r="K65" s="73"/>
      <x:c r="L65" s="73"/>
      <x:c r="M65" s="73"/>
      <x:c r="N65" s="73"/>
      <x:c r="O65" s="73"/>
    </x:row>
    <x:row r="66" ht="22" customHeight="1">
      <x:c r="C66" s="69"/>
      <x:c r="D66" s="73"/>
      <x:c r="E66" s="180" t="n">
        <x:v>0.13</x:v>
      </x:c>
      <x:c r="F66" s="91" t="n">
        <x:v>23.7168038998655</x:v>
      </x:c>
      <x:c r="G66" s="91" t="n">
        <x:v>24.7027828483415</x:v>
      </x:c>
      <x:c r="H66" s="91" t="n">
        <x:v>25.8859575865127</x:v>
      </x:c>
      <x:c r="I66" s="91" t="n">
        <x:v>26.5709534875592</x:v>
      </x:c>
      <x:c r="J66" s="91" t="n">
        <x:v>27.3320600442775</x:v>
      </x:c>
      <x:c r="K66" s="73"/>
      <x:c r="L66" s="73"/>
      <x:c r="M66" s="73"/>
      <x:c r="N66" s="73"/>
      <x:c r="O66" s="73"/>
    </x:row>
    <x:row r="67" ht="22" customHeight="1">
      <x:c r="C67" s="69"/>
      <x:c r="D67" s="73"/>
      <x:c r="E67" s="180" t="n">
        <x:v>0.145</x:v>
      </x:c>
      <x:c r="F67" s="91" t="n">
        <x:v>21.8729057546416</x:v>
      </x:c>
      <x:c r="G67" s="91" t="n">
        <x:v>22.6024210081933</x:v>
      </x:c>
      <x:c r="H67" s="91" t="n">
        <x:v>23.458808479754</x:v>
      </x:c>
      <x:c r="I67" s="91" t="n">
        <x:v>23.9453922704135</x:v>
      </x:c>
      <x:c r="J67" s="91" t="n">
        <x:v>24.4783173744692</x:v>
      </x:c>
      <x:c r="K67" s="73"/>
      <x:c r="L67" s="73"/>
      <x:c r="M67" s="73"/>
      <x:c r="N67" s="73"/>
      <x:c r="O67" s="73"/>
    </x:row>
    <x:row r="68" ht="22" customHeight="1">
      <x:c r="C68" s="69"/>
      <x:c r="D68" s="73"/>
      <x:c r="E68" s="180" t="n">
        <x:v>0.16</x:v>
      </x:c>
      <x:c r="F68" s="91" t="n">
        <x:v>20.4103975076571</x:v>
      </x:c>
      <x:c r="G68" s="91" t="n">
        <x:v>20.9652914055527</x:v>
      </x:c>
      <x:c r="H68" s="91" t="n">
        <x:v>21.6055535954322</x:v>
      </x:c>
      <x:c r="I68" s="91" t="n">
        <x:v>21.9641004217648</x:v>
      </x:c>
      <x:c r="J68" s="91" t="n">
        <x:v>22.3525261502917</x:v>
      </x:c>
      <x:c r="K68" s="73"/>
      <x:c r="L68" s="73"/>
      <x:c r="M68" s="73"/>
      <x:c r="N68" s="73"/>
      <x:c r="O68" s="73"/>
    </x:row>
    <x:row r="69" ht="22" customHeight="1">
      <x:c r="C69" s="69"/>
      <x:c r="D69" s="73"/>
      <x:c r="E69" s="73"/>
      <x:c r="F69" s="73"/>
      <x:c r="G69" s="73"/>
      <x:c r="H69" s="73"/>
      <x:c r="I69" s="73"/>
      <x:c r="J69" s="73"/>
      <x:c r="K69" s="73"/>
      <x:c r="L69" s="73"/>
      <x:c r="M69" s="73"/>
      <x:c r="N69" s="73"/>
      <x:c r="O69" s="73"/>
    </x:row>
    <x:row r="70" ht="22" customHeight="1">
      <x:c r="C70" s="69"/>
      <x:c r="D70" s="73"/>
      <x:c r="E70" s="73"/>
      <x:c r="F70" s="73"/>
      <x:c r="G70" s="73"/>
      <x:c r="H70" s="73"/>
      <x:c r="I70" s="73"/>
      <x:c r="J70" s="73"/>
      <x:c r="K70" s="73"/>
      <x:c r="L70" s="73"/>
      <x:c r="M70" s="73"/>
      <x:c r="N70" s="73"/>
      <x:c r="O70" s="73"/>
    </x:row>
    <x:row r="71" ht="22" customHeight="1">
      <x:c r="C71" s="84" t="str">
        <x:v>Native What-If Data Table. Row input E7; column input E6. Recalculates the actual model.</x:v>
      </x:c>
      <x:c r="D71" s="73"/>
      <x:c r="E71" s="73"/>
      <x:c r="F71" s="73"/>
      <x:c r="G71" s="73"/>
      <x:c r="H71" s="73"/>
      <x:c r="I71" s="73"/>
      <x:c r="J71" s="73"/>
      <x:c r="K71" s="73"/>
      <x:c r="L71" s="73"/>
      <x:c r="M71" s="73"/>
      <x:c r="N71" s="73"/>
      <x:c r="O71" s="73"/>
    </x:row>
    <x:row r="72" ht="22" customHeight="1">
      <x:c r="C72" s="69"/>
      <x:c r="D72" s="73"/>
      <x:c r="E72" s="73"/>
      <x:c r="F72" s="73"/>
      <x:c r="G72" s="73"/>
      <x:c r="H72" s="73"/>
      <x:c r="I72" s="73"/>
      <x:c r="J72" s="73"/>
      <x:c r="K72" s="73"/>
      <x:c r="L72" s="73"/>
      <x:c r="M72" s="73"/>
      <x:c r="N72" s="73"/>
      <x:c r="O72" s="73"/>
    </x:row>
    <x:row r="73" ht="22" customHeight="1">
      <x:c r="C73" s="84" t="str">
        <x:v>Risk-free 5.21% + assumed beta 1.65 x estimated ERP 4.20% = 12.14% default discount rate.</x:v>
      </x:c>
      <x:c r="D73" s="73"/>
      <x:c r="E73" s="73"/>
      <x:c r="F73" s="73"/>
      <x:c r="G73" s="73"/>
      <x:c r="H73" s="73"/>
      <x:c r="I73" s="73"/>
      <x:c r="J73" s="73"/>
      <x:c r="K73" s="73"/>
      <x:c r="L73" s="73"/>
      <x:c r="M73" s="73"/>
      <x:c r="N73" s="73"/>
      <x:c r="O73" s="73"/>
    </x:row>
    <x:row r="74" ht="22" customHeight="1">
      <x:c r="C74" s="69"/>
      <x:c r="D74" s="73"/>
      <x:c r="E74" s="73"/>
      <x:c r="F74" s="73"/>
      <x:c r="G74" s="73"/>
      <x:c r="H74" s="73"/>
      <x:c r="I74" s="73"/>
      <x:c r="J74" s="73"/>
      <x:c r="K74" s="73"/>
      <x:c r="L74" s="73"/>
      <x:c r="M74" s="73"/>
      <x:c r="N74" s="73"/>
      <x:c r="O74" s="73"/>
    </x:row>
    <x:row r="75" ht="22" customHeight="1">
      <x:c r="C75" s="84" t="str">
        <x:v>Discount rate must be positive and exceed terminal growth; terminal growth must exceed -100%.</x:v>
      </x:c>
      <x:c r="D75" s="73"/>
      <x:c r="E75" s="73"/>
      <x:c r="F75" s="73"/>
      <x:c r="G75" s="73"/>
      <x:c r="H75" s="73"/>
      <x:c r="I75" s="73"/>
      <x:c r="J75" s="73"/>
      <x:c r="K75" s="73"/>
      <x:c r="L75" s="73"/>
      <x:c r="M75" s="73"/>
      <x:c r="N75" s="73"/>
      <x:c r="O75" s="73"/>
    </x:row>
    <x:row r="76" ht="22" customHeight="1">
      <x:c r="C76" s="69"/>
      <x:c r="D76" s="73"/>
      <x:c r="E76" s="95" t="str">
        <x:f>IF(AND(ISNUMBER(E6),ISNUMBER(E7),E6&gt;0,E6&gt;E7,E7&gt;-1),"Valid rates","Invalid rates")</x:f>
        <x:v>Valid rates</x:v>
      </x:c>
      <x:c r="F76" s="73"/>
      <x:c r="G76" s="73"/>
      <x:c r="H76" s="73"/>
      <x:c r="I76" s="73"/>
      <x:c r="J76" s="73"/>
      <x:c r="K76" s="73"/>
      <x:c r="L76" s="73"/>
      <x:c r="M76" s="73"/>
      <x:c r="N76" s="73"/>
      <x:c r="O76" s="73"/>
    </x:row>
    <x:row r="77" ht="22" customHeight="1">
      <x:c r="C77" s="69"/>
      <x:c r="D77" s="73"/>
      <x:c r="E77" s="73"/>
      <x:c r="F77" s="73"/>
      <x:c r="G77" s="73"/>
      <x:c r="H77" s="73"/>
      <x:c r="I77" s="73"/>
      <x:c r="J77" s="73"/>
      <x:c r="K77" s="73"/>
      <x:c r="L77" s="73"/>
      <x:c r="M77" s="73"/>
      <x:c r="N77" s="73"/>
      <x:c r="O77" s="73"/>
    </x:row>
    <x:row r="78" ht="22" customHeight="1">
      <x:c r="C78" s="69"/>
      <x:c r="D78" s="73"/>
      <x:c r="E78" s="73"/>
      <x:c r="F78" s="73"/>
      <x:c r="G78" s="73"/>
      <x:c r="H78" s="73"/>
      <x:c r="I78" s="73"/>
      <x:c r="J78" s="73"/>
      <x:c r="K78" s="73"/>
      <x:c r="L78" s="73"/>
      <x:c r="M78" s="73"/>
      <x:c r="N78" s="73"/>
      <x:c r="O78" s="73"/>
    </x:row>
    <x:row r="79" ht="22" customHeight="1">
      <x:c r="C79" s="69"/>
      <x:c r="D79" s="73"/>
      <x:c r="E79" s="73"/>
      <x:c r="F79" s="73"/>
      <x:c r="G79" s="73"/>
      <x:c r="H79" s="73"/>
      <x:c r="I79" s="73"/>
      <x:c r="J79" s="73"/>
      <x:c r="K79" s="73"/>
      <x:c r="L79" s="73"/>
      <x:c r="M79" s="73"/>
      <x:c r="N79" s="73"/>
      <x:c r="O79" s="73"/>
    </x:row>
    <x:row r="80" ht="22" customHeight="1">
      <x:c r="C80" s="69"/>
      <x:c r="D80" s="73"/>
      <x:c r="E80" s="73"/>
      <x:c r="F80" s="73"/>
      <x:c r="G80" s="73"/>
      <x:c r="H80" s="73"/>
      <x:c r="I80" s="73"/>
      <x:c r="J80" s="73"/>
      <x:c r="K80" s="73"/>
      <x:c r="L80" s="73"/>
      <x:c r="M80" s="73"/>
      <x:c r="N80" s="73"/>
      <x:c r="O80" s="73"/>
    </x:row>
    <x:row r="81" ht="22" customHeight="1">
      <x:c r="C81" s="69"/>
      <x:c r="D81" s="73"/>
      <x:c r="E81" s="73"/>
      <x:c r="F81" s="73"/>
      <x:c r="G81" s="73"/>
      <x:c r="H81" s="73"/>
      <x:c r="I81" s="73"/>
      <x:c r="J81" s="73"/>
      <x:c r="K81" s="73"/>
      <x:c r="L81" s="73"/>
      <x:c r="M81" s="73"/>
      <x:c r="N81" s="73"/>
      <x:c r="O81" s="73"/>
    </x:row>
    <x:row r="82" ht="22" customHeight="1">
      <x:c r="C82" s="69"/>
      <x:c r="D82" s="73"/>
      <x:c r="E82" s="73"/>
      <x:c r="F82" s="73"/>
      <x:c r="G82" s="73"/>
      <x:c r="H82" s="73"/>
      <x:c r="I82" s="73"/>
      <x:c r="J82" s="73"/>
      <x:c r="K82" s="73"/>
      <x:c r="L82" s="73"/>
      <x:c r="M82" s="73"/>
      <x:c r="N82" s="73"/>
      <x:c r="O82" s="73"/>
    </x:row>
    <x:row r="83" ht="22" customHeight="1">
      <x:c r="C83" s="69"/>
      <x:c r="D83" s="73"/>
      <x:c r="E83" s="73"/>
      <x:c r="F83" s="73"/>
      <x:c r="G83" s="73"/>
      <x:c r="H83" s="73"/>
      <x:c r="I83" s="73"/>
      <x:c r="J83" s="73"/>
      <x:c r="K83" s="73"/>
      <x:c r="L83" s="73"/>
      <x:c r="M83" s="73"/>
      <x:c r="N83" s="73"/>
      <x:c r="O83" s="73"/>
    </x:row>
    <x:row r="84" ht="22" customHeight="1">
      <x:c r="C84" s="69"/>
      <x:c r="D84" s="73"/>
      <x:c r="E84" s="73"/>
      <x:c r="F84" s="73"/>
      <x:c r="G84" s="73"/>
      <x:c r="H84" s="73"/>
      <x:c r="I84" s="73"/>
      <x:c r="J84" s="73"/>
      <x:c r="K84" s="73"/>
      <x:c r="L84" s="73"/>
      <x:c r="M84" s="73"/>
      <x:c r="N84" s="73"/>
      <x:c r="O84" s="73"/>
    </x:row>
    <x:row r="85" ht="22" customHeight="1">
      <x:c r="C85" s="69"/>
      <x:c r="D85" s="73"/>
      <x:c r="E85" s="73"/>
      <x:c r="F85" s="73"/>
      <x:c r="G85" s="73"/>
      <x:c r="H85" s="73"/>
      <x:c r="I85" s="73"/>
      <x:c r="J85" s="73"/>
      <x:c r="K85" s="73"/>
      <x:c r="L85" s="73"/>
      <x:c r="M85" s="73"/>
      <x:c r="N85" s="73"/>
      <x:c r="O85" s="73"/>
    </x:row>
    <x:row r="86" ht="22" customHeight="1">
      <x:c r="C86" s="69"/>
      <x:c r="D86" s="73"/>
      <x:c r="E86" s="73"/>
      <x:c r="F86" s="73"/>
      <x:c r="G86" s="73"/>
      <x:c r="H86" s="73"/>
      <x:c r="I86" s="73"/>
      <x:c r="J86" s="73"/>
      <x:c r="K86" s="73"/>
      <x:c r="L86" s="73"/>
      <x:c r="M86" s="73"/>
      <x:c r="N86" s="73"/>
      <x:c r="O86" s="73"/>
    </x:row>
    <x:row r="87" ht="22" customHeight="1">
      <x:c r="C87" s="69"/>
      <x:c r="D87" s="73"/>
      <x:c r="E87" s="73"/>
      <x:c r="F87" s="73"/>
      <x:c r="G87" s="73"/>
      <x:c r="H87" s="73"/>
      <x:c r="I87" s="73"/>
      <x:c r="J87" s="73"/>
      <x:c r="K87" s="73"/>
      <x:c r="L87" s="73"/>
      <x:c r="M87" s="73"/>
      <x:c r="N87" s="73"/>
      <x:c r="O87" s="73"/>
    </x:row>
    <x:row r="88" ht="22" customHeight="1">
      <x:c r="C88" s="69"/>
      <x:c r="D88" s="73"/>
      <x:c r="E88" s="73"/>
      <x:c r="F88" s="73"/>
      <x:c r="G88" s="73"/>
      <x:c r="H88" s="73"/>
      <x:c r="I88" s="73"/>
      <x:c r="J88" s="73"/>
      <x:c r="K88" s="73"/>
      <x:c r="L88" s="73"/>
      <x:c r="M88" s="73"/>
      <x:c r="N88" s="73"/>
      <x:c r="O88" s="73"/>
    </x:row>
    <x:row r="89" ht="22" customHeight="1">
      <x:c r="C89" s="69"/>
      <x:c r="D89" s="73"/>
      <x:c r="E89" s="73"/>
      <x:c r="F89" s="73"/>
      <x:c r="G89" s="73"/>
      <x:c r="H89" s="73"/>
      <x:c r="I89" s="73"/>
      <x:c r="J89" s="73"/>
      <x:c r="K89" s="73"/>
      <x:c r="L89" s="73"/>
      <x:c r="M89" s="73"/>
      <x:c r="N89" s="73"/>
      <x:c r="O89" s="73"/>
    </x:row>
    <x:row r="90" ht="22" customHeight="1">
      <x:c r="C90" s="69"/>
      <x:c r="D90" s="73"/>
      <x:c r="E90" s="73"/>
      <x:c r="F90" s="73"/>
      <x:c r="G90" s="73"/>
      <x:c r="H90" s="73"/>
      <x:c r="I90" s="73"/>
      <x:c r="J90" s="73"/>
      <x:c r="K90" s="73"/>
      <x:c r="L90" s="73"/>
      <x:c r="M90" s="73"/>
      <x:c r="N90" s="73"/>
      <x:c r="O90" s="73"/>
    </x:row>
    <x:row r="91" ht="22" customHeight="1">
      <x:c r="C91" s="69"/>
      <x:c r="D91" s="73"/>
      <x:c r="E91" s="73"/>
      <x:c r="F91" s="73"/>
      <x:c r="G91" s="73"/>
      <x:c r="H91" s="73"/>
      <x:c r="I91" s="73"/>
      <x:c r="J91" s="73"/>
      <x:c r="K91" s="73"/>
      <x:c r="L91" s="73"/>
      <x:c r="M91" s="73"/>
      <x:c r="N91" s="73"/>
      <x:c r="O91" s="73"/>
    </x:row>
    <x:row r="92" ht="22" customHeight="1">
      <x:c r="C92" s="69"/>
      <x:c r="D92" s="73"/>
      <x:c r="E92" s="73"/>
      <x:c r="F92" s="73"/>
      <x:c r="G92" s="73"/>
      <x:c r="H92" s="73"/>
      <x:c r="I92" s="73"/>
      <x:c r="J92" s="73"/>
      <x:c r="K92" s="73"/>
      <x:c r="L92" s="73"/>
      <x:c r="M92" s="73"/>
      <x:c r="N92" s="73"/>
      <x:c r="O92" s="73"/>
    </x:row>
    <x:row r="93" ht="22" customHeight="1">
      <x:c r="C93" s="69"/>
      <x:c r="D93" s="73"/>
      <x:c r="E93" s="73"/>
      <x:c r="F93" s="73"/>
      <x:c r="G93" s="73"/>
      <x:c r="H93" s="73"/>
      <x:c r="I93" s="73"/>
      <x:c r="J93" s="73"/>
      <x:c r="K93" s="73"/>
      <x:c r="L93" s="73"/>
      <x:c r="M93" s="73"/>
      <x:c r="N93" s="73"/>
      <x:c r="O93" s="73"/>
    </x:row>
    <x:row r="94" ht="22" customHeight="1">
      <x:c r="C94" s="69"/>
      <x:c r="D94" s="73"/>
      <x:c r="E94" s="73"/>
      <x:c r="F94" s="73"/>
      <x:c r="G94" s="73"/>
      <x:c r="H94" s="73"/>
      <x:c r="I94" s="73"/>
      <x:c r="J94" s="73"/>
      <x:c r="K94" s="73"/>
      <x:c r="L94" s="73"/>
      <x:c r="M94" s="73"/>
      <x:c r="N94" s="73"/>
      <x:c r="O94" s="73"/>
    </x:row>
    <x:row r="95" ht="22" customHeight="1">
      <x:c r="C95" s="69"/>
      <x:c r="D95" s="73"/>
      <x:c r="E95" s="73"/>
      <x:c r="F95" s="73"/>
      <x:c r="G95" s="73"/>
      <x:c r="H95" s="73"/>
      <x:c r="I95" s="73"/>
      <x:c r="J95" s="73"/>
      <x:c r="K95" s="73"/>
      <x:c r="L95" s="73"/>
      <x:c r="M95" s="73"/>
      <x:c r="N95" s="73"/>
      <x:c r="O95" s="73"/>
    </x:row>
  </x:sheetData>
  <x:conditionalFormatting sqref="D31:O31">
    <x:cfRule type="cellIs" dxfId="229" priority="2" operator="greaterThan">
      <x:formula>0</x:formula>
    </x:cfRule>
    <x:cfRule type="cellIs" dxfId="230" priority="3" operator="lessThan">
      <x:formula>0</x:formula>
    </x:cfRule>
  </x:conditionalFormatting>
  <x:conditionalFormatting sqref="D33:O33">
    <x:cfRule type="cellIs" dxfId="231" priority="4" operator="greaterThan">
      <x:formula>0</x:formula>
    </x:cfRule>
    <x:cfRule type="cellIs" dxfId="232" priority="5" operator="lessThan">
      <x:formula>0</x:formula>
    </x:cfRule>
  </x:conditionalFormatting>
  <x:conditionalFormatting sqref="F63:J68">
    <x:cfRule type="colorScale" priority="6">
      <x:colorScale>
        <x:cfvo type="min"/>
        <x:cfvo type="percentile" val="50"/>
        <x:cfvo type="max"/>
        <x:color rgb="FFEAF2FF"/>
        <x:color rgb="FFB9D7FF"/>
        <x:color rgb="FF5FBFFF"/>
      </x:colorScale>
    </x:cfRule>
  </x:conditionalFormatting>
  <x:dataValidations count="1">
    <x:dataValidation type="decimal" operator="between" sqref="E10">
      <x:formula1>-1</x:formula1>
      <x:formula2>1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9070D4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7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</x:row>
    <x:row r="2" ht="22" customHeight="1">
      <x:c r="C2" s="81" t="str">
        <x:v>Reported historical statements</x:v>
      </x:c>
      <x:c r="D2" s="81"/>
      <x:c r="E2" s="81"/>
      <x:c r="F2" s="81"/>
      <x:c r="G2" s="81"/>
      <x:c r="H2" s="81"/>
      <x:c r="I2" s="81"/>
    </x:row>
    <x:row r="3" ht="22" customHeight="1">
      <x:c r="C3" s="82"/>
      <x:c r="D3" s="82"/>
      <x:c r="E3" s="82"/>
      <x:c r="F3" s="82"/>
      <x:c r="G3" s="82"/>
      <x:c r="H3" s="82"/>
      <x:c r="I3" s="82"/>
    </x:row>
    <x:row r="4" ht="22" customHeight="1">
      <x:c r="C4" s="84" t="str">
        <x:v>USD millions. Annual and half-year flows are distinct; balance-sheet stocks use period-end dates.</x:v>
      </x:c>
      <x:c r="D4" s="69"/>
      <x:c r="E4" s="69"/>
      <x:c r="F4" s="69"/>
      <x:c r="G4" s="69"/>
      <x:c r="H4" s="69"/>
      <x:c r="I4" s="69"/>
    </x:row>
    <x:row r="5" ht="22" customHeight="1">
      <x:c r="C5" s="69"/>
      <x:c r="D5" s="69"/>
      <x:c r="E5" s="69"/>
      <x:c r="F5" s="69"/>
      <x:c r="G5" s="69"/>
      <x:c r="H5" s="69"/>
      <x:c r="I5" s="69"/>
    </x:row>
    <x:row r="6" ht="22" customHeight="1">
      <x:c r="C6" s="69"/>
      <x:c r="D6" s="84" t="str">
        <x:v>FY2024</x:v>
      </x:c>
      <x:c r="E6" s="84" t="str">
        <x:v>FY2025</x:v>
      </x:c>
      <x:c r="F6" s="84" t="str">
        <x:v>H12026</x:v>
      </x:c>
      <x:c r="G6" s="69"/>
      <x:c r="H6" s="69"/>
      <x:c r="I6" s="69"/>
    </x:row>
    <x:row r="7" ht="22" customHeight="1">
      <x:c r="C7" s="69"/>
      <x:c r="D7" s="73"/>
      <x:c r="E7" s="73"/>
      <x:c r="F7" s="73"/>
      <x:c r="G7" s="73"/>
      <x:c r="H7" s="73"/>
      <x:c r="I7" s="73"/>
    </x:row>
    <x:row r="8" ht="15" hidden="0" customHeight="1">
      <x:c r="C8" s="187" t="str">
        <x:v>income statement</x:v>
      </x:c>
      <x:c r="D8" s="124"/>
      <x:c r="E8" s="124"/>
      <x:c r="F8" s="124"/>
      <x:c r="G8" s="73"/>
      <x:c r="H8" s="73"/>
      <x:c r="I8" s="73"/>
    </x:row>
    <x:row r="9" ht="15" hidden="0" customHeight="1">
      <x:c r="C9" s="188" t="str">
        <x:v>Reserve income</x:v>
      </x:c>
      <x:c r="D9" s="95" t="n">
        <x:v>1661.084</x:v>
      </x:c>
      <x:c r="E9" s="95" t="n">
        <x:v>2636.822</x:v>
      </x:c>
      <x:c r="F9" s="95" t="n">
        <x:v>1320.241</x:v>
      </x:c>
      <x:c r="G9" s="73"/>
      <x:c r="H9" s="73"/>
      <x:c r="I9" s="73"/>
    </x:row>
    <x:row r="10" ht="15" hidden="0" customHeight="1">
      <x:c r="C10" s="188" t="str">
        <x:v>Other revenue</x:v>
      </x:c>
      <x:c r="D10" s="95" t="n">
        <x:v>15.169</x:v>
      </x:c>
      <x:c r="E10" s="95" t="n">
        <x:v>109.82</x:v>
      </x:c>
      <x:c r="F10" s="95" t="n">
        <x:v>75.207</x:v>
      </x:c>
      <x:c r="G10" s="73"/>
      <x:c r="H10" s="73"/>
      <x:c r="I10" s="73"/>
    </x:row>
    <x:row r="11" ht="15" hidden="0" customHeight="1">
      <x:c r="C11" s="188" t="str">
        <x:v>Total revenue and reserve income</x:v>
      </x:c>
      <x:c r="D11" s="95" t="n">
        <x:v>1676.253</x:v>
      </x:c>
      <x:c r="E11" s="95" t="n">
        <x:v>2746.642</x:v>
      </x:c>
      <x:c r="F11" s="95" t="n">
        <x:v>1395.448</x:v>
      </x:c>
      <x:c r="G11" s="73"/>
      <x:c r="H11" s="73"/>
      <x:c r="I11" s="73"/>
    </x:row>
    <x:row r="12" ht="40" hidden="0" customHeight="1">
      <x:c r="C12" s="188" t="str">
        <x:v>Distribution and transaction costs</x:v>
      </x:c>
      <x:c r="D12" s="95" t="n">
        <x:v>1010.811</x:v>
      </x:c>
      <x:c r="E12" s="95" t="n">
        <x:v>1661.549</x:v>
      </x:c>
      <x:c r="F12" s="95" t="n">
        <x:v>815.816</x:v>
      </x:c>
      <x:c r="G12" s="73"/>
      <x:c r="H12" s="73"/>
      <x:c r="I12" s="73"/>
    </x:row>
    <x:row r="13" ht="15" hidden="0" customHeight="1">
      <x:c r="C13" s="188" t="str">
        <x:v>Other costs</x:v>
      </x:c>
      <x:c r="D13" s="95" t="n">
        <x:v>6.553</x:v>
      </x:c>
      <x:c r="E13" s="95" t="n">
        <x:v>2.102</x:v>
      </x:c>
      <x:c r="F13" s="95" t="n">
        <x:v>3.435</x:v>
      </x:c>
      <x:c r="G13" s="73"/>
      <x:c r="H13" s="73"/>
      <x:c r="I13" s="73"/>
    </x:row>
    <x:row r="14" ht="40" hidden="0" customHeight="1">
      <x:c r="C14" s="188" t="str">
        <x:v>Total distribution, transaction and other costs</x:v>
      </x:c>
      <x:c r="D14" s="95" t="n">
        <x:v>1017.364</x:v>
      </x:c>
      <x:c r="E14" s="95" t="n">
        <x:v>1663.651</x:v>
      </x:c>
      <x:c r="F14" s="95" t="n">
        <x:v>819.251</x:v>
      </x:c>
      <x:c r="G14" s="73"/>
      <x:c r="H14" s="73"/>
      <x:c r="I14" s="73"/>
    </x:row>
    <x:row r="15" ht="15" hidden="0" customHeight="1">
      <x:c r="C15" s="188" t="str">
        <x:v>Compensation expenses</x:v>
      </x:c>
      <x:c r="D15" s="95" t="n">
        <x:v>263.41</x:v>
      </x:c>
      <x:c r="E15" s="95" t="n">
        <x:v>844.878</x:v>
      </x:c>
      <x:c r="F15" s="95" t="n">
        <x:v>272.126</x:v>
      </x:c>
      <x:c r="G15" s="73"/>
      <x:c r="H15" s="73"/>
      <x:c r="I15" s="73"/>
    </x:row>
    <x:row r="16" ht="15" hidden="0" customHeight="1">
      <x:c r="C16" s="188" t="str">
        <x:v>General and administrative expenses</x:v>
      </x:c>
      <x:c r="D16" s="95" t="n">
        <x:v>137.283</x:v>
      </x:c>
      <x:c r="E16" s="95" t="n">
        <x:v>190.272</x:v>
      </x:c>
      <x:c r="F16" s="95" t="n">
        <x:v>123.534</x:v>
      </x:c>
      <x:c r="G16" s="73"/>
      <x:c r="H16" s="73"/>
      <x:c r="I16" s="73"/>
    </x:row>
    <x:row r="17" ht="15" hidden="0" customHeight="1">
      <x:c r="C17" s="188" t="str">
        <x:v>Depreciation and amortization expenses</x:v>
      </x:c>
      <x:c r="D17" s="95" t="n">
        <x:v>50.854</x:v>
      </x:c>
      <x:c r="E17" s="95" t="n">
        <x:v>76.627</x:v>
      </x:c>
      <x:c r="F17" s="95" t="n">
        <x:v>56.663</x:v>
      </x:c>
      <x:c r="G17" s="73"/>
      <x:c r="H17" s="73"/>
      <x:c r="I17" s="73"/>
    </x:row>
    <x:row r="18" ht="15" hidden="0" customHeight="1">
      <x:c r="C18" s="188" t="str">
        <x:v>IT infrastructure costs</x:v>
      </x:c>
      <x:c r="D18" s="95" t="n">
        <x:v>27.109</x:v>
      </x:c>
      <x:c r="E18" s="95" t="n">
        <x:v>36.638</x:v>
      </x:c>
      <x:c r="F18" s="95" t="n">
        <x:v>29.081</x:v>
      </x:c>
      <x:c r="G18" s="73"/>
      <x:c r="H18" s="73"/>
      <x:c r="I18" s="73"/>
    </x:row>
    <x:row r="19" ht="15" hidden="0" customHeight="1">
      <x:c r="C19" s="188" t="str">
        <x:v>Marketing expenses</x:v>
      </x:c>
      <x:c r="D19" s="95" t="n">
        <x:v>17.326</x:v>
      </x:c>
      <x:c r="E19" s="95" t="n">
        <x:v>25.718</x:v>
      </x:c>
      <x:c r="F19" s="95" t="n">
        <x:v>15.274</x:v>
      </x:c>
      <x:c r="G19" s="73"/>
      <x:c r="H19" s="73"/>
      <x:c r="I19" s="73"/>
    </x:row>
    <x:row r="20" ht="15" hidden="0" customHeight="1">
      <x:c r="C20" s="188" t="str">
        <x:v>Gain on sale of intangible assets</x:v>
      </x:c>
      <x:c r="D20" s="95" t="n">
        <x:v>0</x:v>
      </x:c>
      <x:c r="E20" s="95" t="n">
        <x:v>0</x:v>
      </x:c>
      <x:c r="F20" s="94" t="str">
        <x:v>n.a.</x:v>
      </x:c>
      <x:c r="G20" s="73"/>
      <x:c r="H20" s="73"/>
      <x:c r="I20" s="73"/>
    </x:row>
    <x:row r="21" ht="15" hidden="0" customHeight="1">
      <x:c r="C21" s="188" t="str">
        <x:v>Digital assets losses (gains)</x:v>
      </x:c>
      <x:c r="D21" s="95" t="n">
        <x:v>-4.251</x:v>
      </x:c>
      <x:c r="E21" s="95" t="n">
        <x:v>5.293</x:v>
      </x:c>
      <x:c r="F21" s="95" t="n">
        <x:v>0.158</x:v>
      </x:c>
      <x:c r="G21" s="73"/>
      <x:c r="H21" s="73"/>
      <x:c r="I21" s="73"/>
    </x:row>
    <x:row r="22" ht="15" hidden="0" customHeight="1">
      <x:c r="C22" s="188" t="str">
        <x:v>Total operating expenses</x:v>
      </x:c>
      <x:c r="D22" s="95" t="n">
        <x:v>491.731</x:v>
      </x:c>
      <x:c r="E22" s="95" t="n">
        <x:v>1179.426</x:v>
      </x:c>
      <x:c r="F22" s="95" t="n">
        <x:v>496.836</x:v>
      </x:c>
      <x:c r="G22" s="73"/>
      <x:c r="H22" s="73"/>
      <x:c r="I22" s="73"/>
    </x:row>
    <x:row r="23" ht="40" hidden="0" customHeight="1">
      <x:c r="C23" s="188" t="str">
        <x:v>Operating income (loss) from continuing operations</x:v>
      </x:c>
      <x:c r="D23" s="95" t="n">
        <x:v>167.158</x:v>
      </x:c>
      <x:c r="E23" s="95" t="n">
        <x:v>-96.435</x:v>
      </x:c>
      <x:c r="F23" s="95" t="n">
        <x:v>79.361</x:v>
      </x:c>
      <x:c r="G23" s="73"/>
      <x:c r="H23" s="73"/>
      <x:c r="I23" s="73"/>
    </x:row>
    <x:row r="24" ht="15" hidden="0" customHeight="1">
      <x:c r="C24" s="188" t="str">
        <x:v>Other income (expense), net</x:v>
      </x:c>
      <x:c r="D24" s="95" t="n">
        <x:v>54.416</x:v>
      </x:c>
      <x:c r="E24" s="95" t="n">
        <x:v>-6.458</x:v>
      </x:c>
      <x:c r="F24" s="95" t="n">
        <x:v>29.63</x:v>
      </x:c>
      <x:c r="G24" s="73"/>
      <x:c r="H24" s="73"/>
      <x:c r="I24" s="73"/>
    </x:row>
    <x:row r="25" ht="40" hidden="0" customHeight="1">
      <x:c r="C25" s="188" t="str">
        <x:v>Net income (loss) from continuing operations before income taxes</x:v>
      </x:c>
      <x:c r="D25" s="95" t="n">
        <x:v>221.574</x:v>
      </x:c>
      <x:c r="E25" s="95" t="n">
        <x:v>-102.893</x:v>
      </x:c>
      <x:c r="F25" s="95" t="n">
        <x:v>108.991</x:v>
      </x:c>
      <x:c r="G25" s="73"/>
      <x:c r="H25" s="73"/>
      <x:c r="I25" s="73"/>
    </x:row>
    <x:row r="26" ht="15" hidden="0" customHeight="1">
      <x:c r="C26" s="188" t="str">
        <x:v>Income tax expense (benefit)</x:v>
      </x:c>
      <x:c r="D26" s="95" t="n">
        <x:v>64.583</x:v>
      </x:c>
      <x:c r="E26" s="95" t="n">
        <x:v>-33.375</x:v>
      </x:c>
      <x:c r="F26" s="95" t="n">
        <x:v>5.531</x:v>
      </x:c>
      <x:c r="G26" s="73"/>
      <x:c r="H26" s="73"/>
      <x:c r="I26" s="73"/>
    </x:row>
    <x:row r="27" ht="15" hidden="0" customHeight="1">
      <x:c r="C27" s="188" t="str">
        <x:v>Net income (loss) from continuing operations</x:v>
      </x:c>
      <x:c r="D27" s="95" t="n">
        <x:v>156.991</x:v>
      </x:c>
      <x:c r="E27" s="95" t="n">
        <x:v>-69.518</x:v>
      </x:c>
      <x:c r="F27" s="95" t="n">
        <x:v>103.46</x:v>
      </x:c>
      <x:c r="G27" s="73"/>
      <x:c r="H27" s="73"/>
      <x:c r="I27" s="73"/>
    </x:row>
    <x:row r="28" ht="15" hidden="0" customHeight="1">
      <x:c r="C28" s="188" t="str">
        <x:v>Loss from operations of discontinued businesses</x:v>
      </x:c>
      <x:c r="D28" s="95" t="n">
        <x:v>-1.324</x:v>
      </x:c>
      <x:c r="E28" s="95" t="n">
        <x:v>0</x:v>
      </x:c>
      <x:c r="F28" s="94" t="str">
        <x:v>n.a.</x:v>
      </x:c>
      <x:c r="G28" s="73"/>
      <x:c r="H28" s="73"/>
      <x:c r="I28" s="73"/>
    </x:row>
    <x:row r="29" ht="15" hidden="0" customHeight="1">
      <x:c r="C29" s="188" t="str">
        <x:v>Net income (loss)</x:v>
      </x:c>
      <x:c r="D29" s="95" t="n">
        <x:v>155.667</x:v>
      </x:c>
      <x:c r="E29" s="95" t="n">
        <x:v>-69.518</x:v>
      </x:c>
      <x:c r="F29" s="94" t="str">
        <x:v>n.a.</x:v>
      </x:c>
      <x:c r="G29" s="73"/>
      <x:c r="H29" s="73"/>
      <x:c r="I29" s="73"/>
    </x:row>
    <x:row r="30" ht="40" hidden="0" customHeight="1">
      <x:c r="C30" s="188" t="str">
        <x:v>Less: Net loss attributable to noncontrolling interests</x:v>
      </x:c>
      <x:c r="D30" s="95" t="n">
        <x:v>0</x:v>
      </x:c>
      <x:c r="E30" s="95" t="n">
        <x:v>-0.01</x:v>
      </x:c>
      <x:c r="F30" s="95" t="n">
        <x:v>-0.014</x:v>
      </x:c>
      <x:c r="G30" s="73"/>
      <x:c r="H30" s="73"/>
      <x:c r="I30" s="73"/>
    </x:row>
    <x:row r="31" ht="40" hidden="0" customHeight="1">
      <x:c r="C31" s="188" t="str">
        <x:v>Net income (loss) attributable to common stockholders</x:v>
      </x:c>
      <x:c r="D31" s="95" t="n">
        <x:v>155.667</x:v>
      </x:c>
      <x:c r="E31" s="95" t="n">
        <x:v>-69.508</x:v>
      </x:c>
      <x:c r="F31" s="95" t="n">
        <x:v>103.474</x:v>
      </x:c>
      <x:c r="G31" s="73"/>
      <x:c r="H31" s="73"/>
      <x:c r="I31" s="73"/>
    </x:row>
    <x:row r="32" ht="15" hidden="0" customHeight="1">
      <x:c r="C32" s="183"/>
      <x:c r="D32" s="73"/>
      <x:c r="E32" s="73"/>
      <x:c r="F32" s="73"/>
      <x:c r="G32" s="73"/>
      <x:c r="H32" s="73"/>
      <x:c r="I32" s="73"/>
    </x:row>
    <x:row r="33" ht="15" hidden="0" customHeight="1">
      <x:c r="C33" s="183"/>
      <x:c r="D33" s="73"/>
      <x:c r="E33" s="73"/>
      <x:c r="F33" s="73"/>
      <x:c r="G33" s="73"/>
      <x:c r="H33" s="73"/>
      <x:c r="I33" s="73"/>
    </x:row>
    <x:row r="34" ht="15" hidden="0" customHeight="1">
      <x:c r="C34" s="187" t="str">
        <x:v>cash flow</x:v>
      </x:c>
      <x:c r="D34" s="124"/>
      <x:c r="E34" s="124"/>
      <x:c r="F34" s="124"/>
      <x:c r="G34" s="73"/>
      <x:c r="H34" s="73"/>
      <x:c r="I34" s="73"/>
    </x:row>
    <x:row r="35" ht="15" hidden="0" customHeight="1">
      <x:c r="C35" s="188" t="str">
        <x:v>Net income (loss)</x:v>
      </x:c>
      <x:c r="D35" s="95" t="n">
        <x:v>155.667</x:v>
      </x:c>
      <x:c r="E35" s="95" t="n">
        <x:v>-69.518</x:v>
      </x:c>
      <x:c r="F35" s="94" t="str">
        <x:v>n.a.</x:v>
      </x:c>
      <x:c r="G35" s="73"/>
      <x:c r="H35" s="73"/>
      <x:c r="I35" s="73"/>
    </x:row>
    <x:row r="36" ht="40" hidden="0" customHeight="1">
      <x:c r="C36" s="188" t="str">
        <x:v>Operating cash flow reconciliation: Depreciation and amortization expense</x:v>
      </x:c>
      <x:c r="D36" s="95" t="n">
        <x:v>50.854</x:v>
      </x:c>
      <x:c r="E36" s="95" t="n">
        <x:v>76.627</x:v>
      </x:c>
      <x:c r="F36" s="94" t="str">
        <x:v>n.a.</x:v>
      </x:c>
      <x:c r="G36" s="73"/>
      <x:c r="H36" s="73"/>
      <x:c r="I36" s="73"/>
    </x:row>
    <x:row r="37" ht="40" hidden="0" customHeight="1">
      <x:c r="C37" s="188" t="str">
        <x:v>Accretion of premium on available-for-sale debt securities</x:v>
      </x:c>
      <x:c r="D37" s="95" t="n">
        <x:v>-2.268</x:v>
      </x:c>
      <x:c r="E37" s="95" t="n">
        <x:v>0</x:v>
      </x:c>
      <x:c r="F37" s="94" t="str">
        <x:v>n.a.</x:v>
      </x:c>
      <x:c r="G37" s="73"/>
      <x:c r="H37" s="73"/>
      <x:c r="I37" s="73"/>
    </x:row>
    <x:row r="38" ht="40" hidden="0" customHeight="1">
      <x:c r="C38" s="188" t="str">
        <x:v>Realized and unrealized (gains) losses on digital assets</x:v>
      </x:c>
      <x:c r="D38" s="95" t="n">
        <x:v>-12.878</x:v>
      </x:c>
      <x:c r="E38" s="95" t="n">
        <x:v>-18.223</x:v>
      </x:c>
      <x:c r="F38" s="94" t="str">
        <x:v>n.a.</x:v>
      </x:c>
      <x:c r="G38" s="73"/>
      <x:c r="H38" s="73"/>
      <x:c r="I38" s="73"/>
    </x:row>
    <x:row r="39" ht="40" hidden="0" customHeight="1">
      <x:c r="C39" s="188" t="str">
        <x:v>Operating cash flow reconciliation: Change in fair value of convertible debt, warrant liability, and embedded derivatives</x:v>
      </x:c>
      <x:c r="D39" s="95" t="n">
        <x:v>-10.024</x:v>
      </x:c>
      <x:c r="E39" s="95" t="n">
        <x:v>71.422</x:v>
      </x:c>
      <x:c r="F39" s="94" t="str">
        <x:v>n.a.</x:v>
      </x:c>
      <x:c r="G39" s="73"/>
      <x:c r="H39" s="73"/>
      <x:c r="I39" s="73"/>
    </x:row>
    <x:row r="40" ht="40" hidden="0" customHeight="1">
      <x:c r="C40" s="188" t="str">
        <x:v>Operating cash flow reconciliation: Digital assets received for services</x:v>
      </x:c>
      <x:c r="D40" s="95" t="n">
        <x:v>-1.5</x:v>
      </x:c>
      <x:c r="E40" s="95" t="n">
        <x:v>-28.567</x:v>
      </x:c>
      <x:c r="F40" s="94" t="str">
        <x:v>n.a.</x:v>
      </x:c>
      <x:c r="G40" s="73"/>
      <x:c r="H40" s="73"/>
      <x:c r="I40" s="73"/>
    </x:row>
    <x:row r="41" ht="40" hidden="0" customHeight="1">
      <x:c r="C41" s="188" t="str">
        <x:v>Operating cash flow reconciliation: Equity securities received for services</x:v>
      </x:c>
      <x:c r="D41" s="95" t="n">
        <x:v>0</x:v>
      </x:c>
      <x:c r="E41" s="95" t="n">
        <x:v>-3.302</x:v>
      </x:c>
      <x:c r="F41" s="94" t="str">
        <x:v>n.a.</x:v>
      </x:c>
      <x:c r="G41" s="73"/>
      <x:c r="H41" s="73"/>
      <x:c r="I41" s="73"/>
    </x:row>
    <x:row r="42" ht="15" hidden="0" customHeight="1">
      <x:c r="C42" s="188" t="str">
        <x:v>Operating cash flow reconciliation: Deferred taxes</x:v>
      </x:c>
      <x:c r="D42" s="95" t="n">
        <x:v>-2.806</x:v>
      </x:c>
      <x:c r="E42" s="95" t="n">
        <x:v>-2.153</x:v>
      </x:c>
      <x:c r="F42" s="94" t="str">
        <x:v>n.a.</x:v>
      </x:c>
      <x:c r="G42" s="73"/>
      <x:c r="H42" s="73"/>
      <x:c r="I42" s="73"/>
    </x:row>
    <x:row r="43" ht="40" hidden="0" customHeight="1">
      <x:c r="C43" s="188" t="str">
        <x:v>Realized and unrealized (gains) losses on available-for-sale debt securities and strategic investments</x:v>
      </x:c>
      <x:c r="D43" s="95" t="n">
        <x:v>-0.434</x:v>
      </x:c>
      <x:c r="E43" s="95" t="n">
        <x:v>-0.294</x:v>
      </x:c>
      <x:c r="F43" s="94" t="str">
        <x:v>n.a.</x:v>
      </x:c>
      <x:c r="G43" s="73"/>
      <x:c r="H43" s="73"/>
      <x:c r="I43" s="73"/>
    </x:row>
    <x:row r="44" ht="40" hidden="0" customHeight="1">
      <x:c r="C44" s="188" t="str">
        <x:v>(Gains) losses on sale of long-lived assets</x:v>
      </x:c>
      <x:c r="D44" s="95" t="n">
        <x:v>0.073</x:v>
      </x:c>
      <x:c r="E44" s="95" t="n">
        <x:v>0.022</x:v>
      </x:c>
      <x:c r="F44" s="94" t="str">
        <x:v>n.a.</x:v>
      </x:c>
      <x:c r="G44" s="73"/>
      <x:c r="H44" s="73"/>
      <x:c r="I44" s="73"/>
    </x:row>
    <x:row r="45" ht="40" hidden="0" customHeight="1">
      <x:c r="C45" s="188" t="str">
        <x:v>Foreign currency remeasurement losses (gains)</x:v>
      </x:c>
      <x:c r="D45" s="95" t="n">
        <x:v>-0.565</x:v>
      </x:c>
      <x:c r="E45" s="95" t="n">
        <x:v>7.79</x:v>
      </x:c>
      <x:c r="F45" s="94" t="str">
        <x:v>n.a.</x:v>
      </x:c>
      <x:c r="G45" s="73"/>
      <x:c r="H45" s="73"/>
      <x:c r="I45" s="73"/>
    </x:row>
    <x:row r="46" ht="15" hidden="0" customHeight="1">
      <x:c r="C46" s="188" t="str">
        <x:v>Operating cash flow reconciliation: Stock-based compensation</x:v>
      </x:c>
      <x:c r="D46" s="95" t="n">
        <x:v>50.134</x:v>
      </x:c>
      <x:c r="E46" s="95" t="n">
        <x:v>566.177</x:v>
      </x:c>
      <x:c r="F46" s="94" t="str">
        <x:v>n.a.</x:v>
      </x:c>
      <x:c r="G46" s="73"/>
      <x:c r="H46" s="73"/>
      <x:c r="I46" s="73"/>
    </x:row>
    <x:row r="47" ht="40" hidden="0" customHeight="1">
      <x:c r="C47" s="188" t="str">
        <x:v>Operating cash flow reconciliation: Provision for warrants in common stock</x:v>
      </x:c>
      <x:c r="D47" s="95" t="n">
        <x:v>0</x:v>
      </x:c>
      <x:c r="E47" s="95" t="n">
        <x:v>23.592</x:v>
      </x:c>
      <x:c r="F47" s="94" t="str">
        <x:v>n.a.</x:v>
      </x:c>
      <x:c r="G47" s="73"/>
      <x:c r="H47" s="73"/>
      <x:c r="I47" s="73"/>
    </x:row>
    <x:row r="48" ht="40" hidden="0" customHeight="1">
      <x:c r="C48" s="188" t="str">
        <x:v>Operating cash flow reconciliation: Charitable contributions to Circle Foundation</x:v>
      </x:c>
      <x:c r="D48" s="95" t="n">
        <x:v>0</x:v>
      </x:c>
      <x:c r="E48" s="95" t="n">
        <x:v>23.149</x:v>
      </x:c>
      <x:c r="F48" s="94" t="str">
        <x:v>n.a.</x:v>
      </x:c>
      <x:c r="G48" s="73"/>
      <x:c r="H48" s="73"/>
      <x:c r="I48" s="73"/>
    </x:row>
    <x:row r="49" ht="15" hidden="0" customHeight="1">
      <x:c r="C49" s="188" t="str">
        <x:v>Operating cash flow reconciliation: Other non-cash items</x:v>
      </x:c>
      <x:c r="D49" s="95" t="n">
        <x:v>0.887</x:v>
      </x:c>
      <x:c r="E49" s="95" t="n">
        <x:v>4.936</x:v>
      </x:c>
      <x:c r="F49" s="94" t="str">
        <x:v>n.a.</x:v>
      </x:c>
      <x:c r="G49" s="73"/>
      <x:c r="H49" s="73"/>
      <x:c r="I49" s="73"/>
    </x:row>
    <x:row r="50" ht="15" hidden="0" customHeight="1">
      <x:c r="C50" s="188" t="str">
        <x:v>Accounts receivable</x:v>
      </x:c>
      <x:c r="D50" s="95" t="n">
        <x:v>-4.569</x:v>
      </x:c>
      <x:c r="E50" s="95" t="n">
        <x:v>-39.379</x:v>
      </x:c>
      <x:c r="F50" s="94" t="str">
        <x:v>n.a.</x:v>
      </x:c>
      <x:c r="G50" s="73"/>
      <x:c r="H50" s="73"/>
      <x:c r="I50" s="73"/>
    </x:row>
    <x:row r="51" ht="40" hidden="0" customHeight="1">
      <x:c r="C51" s="188" t="str">
        <x:v>Operating working capital: Prepaid expenses and other current assets</x:v>
      </x:c>
      <x:c r="D51" s="95" t="n">
        <x:v>-21.764</x:v>
      </x:c>
      <x:c r="E51" s="95" t="n">
        <x:v>-146.502</x:v>
      </x:c>
      <x:c r="F51" s="94" t="str">
        <x:v>n.a.</x:v>
      </x:c>
      <x:c r="G51" s="73"/>
      <x:c r="H51" s="73"/>
      <x:c r="I51" s="73"/>
    </x:row>
    <x:row r="52" ht="15" hidden="0" customHeight="1">
      <x:c r="C52" s="188" t="str">
        <x:v>Operating working capital: Accounts payable and accrued expenses</x:v>
      </x:c>
      <x:c r="D52" s="95" t="n">
        <x:v>132.878</x:v>
      </x:c>
      <x:c r="E52" s="95" t="n">
        <x:v>81.237</x:v>
      </x:c>
      <x:c r="F52" s="94" t="str">
        <x:v>n.a.</x:v>
      </x:c>
      <x:c r="G52" s="73"/>
      <x:c r="H52" s="73"/>
      <x:c r="I52" s="73"/>
    </x:row>
    <x:row r="53" ht="15" hidden="0" customHeight="1">
      <x:c r="C53" s="188" t="str">
        <x:v>Operating working capital: Other current liabilities</x:v>
      </x:c>
      <x:c r="D53" s="95" t="n">
        <x:v>10.891</x:v>
      </x:c>
      <x:c r="E53" s="95" t="n">
        <x:v>-4.885</x:v>
      </x:c>
      <x:c r="F53" s="94" t="str">
        <x:v>n.a.</x:v>
      </x:c>
      <x:c r="G53" s="73"/>
      <x:c r="H53" s="73"/>
      <x:c r="I53" s="73"/>
    </x:row>
    <x:row r="54" ht="40" hidden="0" customHeight="1">
      <x:c r="C54" s="188" t="str">
        <x:v>Operating working capital: Net cash provided by operating activities</x:v>
      </x:c>
      <x:c r="D54" s="95" t="n">
        <x:v>344.576</x:v>
      </x:c>
      <x:c r="E54" s="95" t="n">
        <x:v>542.129</x:v>
      </x:c>
      <x:c r="F54" s="94" t="str">
        <x:v>n.a.</x:v>
      </x:c>
      <x:c r="G54" s="73"/>
      <x:c r="H54" s="73"/>
      <x:c r="I54" s="73"/>
    </x:row>
    <x:row r="55" ht="40" hidden="0" customHeight="1">
      <x:c r="C55" s="188" t="str">
        <x:v>Purchase of available-for-sale debt securities</x:v>
      </x:c>
      <x:c r="D55" s="95" t="n">
        <x:v>-99.313</x:v>
      </x:c>
      <x:c r="E55" s="95" t="n">
        <x:v>0</x:v>
      </x:c>
      <x:c r="F55" s="94" t="str">
        <x:v>n.a.</x:v>
      </x:c>
      <x:c r="G55" s="73"/>
      <x:c r="H55" s="73"/>
      <x:c r="I55" s="73"/>
    </x:row>
    <x:row r="56" ht="40" hidden="0" customHeight="1">
      <x:c r="C56" s="188" t="str">
        <x:v>Sale and maturities of available-for-sale securities</x:v>
      </x:c>
      <x:c r="D56" s="95" t="n">
        <x:v>341.561</x:v>
      </x:c>
      <x:c r="E56" s="95" t="n">
        <x:v>0</x:v>
      </x:c>
      <x:c r="F56" s="94" t="str">
        <x:v>n.a.</x:v>
      </x:c>
      <x:c r="G56" s="73"/>
      <x:c r="H56" s="73"/>
      <x:c r="I56" s="73"/>
    </x:row>
    <x:row r="57" ht="40" hidden="0" customHeight="1">
      <x:c r="C57" s="188" t="str">
        <x:v>Cash acquired from acquisition of equity method affiliate</x:v>
      </x:c>
      <x:c r="D57" s="95" t="n">
        <x:v>0</x:v>
      </x:c>
      <x:c r="E57" s="95" t="n">
        <x:v>0</x:v>
      </x:c>
      <x:c r="F57" s="94" t="str">
        <x:v>n.a.</x:v>
      </x:c>
      <x:c r="G57" s="73"/>
      <x:c r="H57" s="73"/>
      <x:c r="I57" s="73"/>
    </x:row>
    <x:row r="58" ht="40" hidden="0" customHeight="1">
      <x:c r="C58" s="188" t="str">
        <x:v>Sale and return of investments</x:v>
      </x:c>
      <x:c r="D58" s="95" t="n">
        <x:v>0.739</x:v>
      </x:c>
      <x:c r="E58" s="95" t="n">
        <x:v>1.426</x:v>
      </x:c>
      <x:c r="F58" s="95" t="n">
        <x:v>0.679</x:v>
      </x:c>
      <x:c r="G58" s="73"/>
      <x:c r="H58" s="73"/>
      <x:c r="I58" s="73"/>
    </x:row>
    <x:row r="59" ht="15" hidden="0" customHeight="1">
      <x:c r="C59" s="188" t="str">
        <x:v>Purchase of investments</x:v>
      </x:c>
      <x:c r="D59" s="95" t="n">
        <x:v>-4.265</x:v>
      </x:c>
      <x:c r="E59" s="95" t="n">
        <x:v>-9.291</x:v>
      </x:c>
      <x:c r="F59" s="95" t="n">
        <x:v>-11.735</x:v>
      </x:c>
      <x:c r="G59" s="73"/>
      <x:c r="H59" s="73"/>
      <x:c r="I59" s="73"/>
    </x:row>
    <x:row r="60" ht="40" hidden="0" customHeight="1">
      <x:c r="C60" s="188" t="str">
        <x:v>Business combinations, net of cash acquired</x:v>
      </x:c>
      <x:c r="D60" s="95" t="n">
        <x:v>0</x:v>
      </x:c>
      <x:c r="E60" s="95" t="n">
        <x:v>-7.734</x:v>
      </x:c>
      <x:c r="F60" s="95" t="n">
        <x:v>0</x:v>
      </x:c>
      <x:c r="G60" s="73"/>
      <x:c r="H60" s="73"/>
      <x:c r="I60" s="73"/>
    </x:row>
    <x:row r="61" ht="40" hidden="0" customHeight="1">
      <x:c r="C61" s="188" t="str">
        <x:v>Proceeds from sale of digital assets</x:v>
      </x:c>
      <x:c r="D61" s="95" t="n">
        <x:v>4.805</x:v>
      </x:c>
      <x:c r="E61" s="95" t="n">
        <x:v>0.196</x:v>
      </x:c>
      <x:c r="F61" s="95" t="n">
        <x:v>0</x:v>
      </x:c>
      <x:c r="G61" s="73"/>
      <x:c r="H61" s="73"/>
      <x:c r="I61" s="73"/>
    </x:row>
    <x:row r="62" ht="40" hidden="0" customHeight="1">
      <x:c r="C62" s="188" t="str">
        <x:v>Capitalization of software development costs</x:v>
      </x:c>
      <x:c r="D62" s="95" t="n">
        <x:v>-39.098</x:v>
      </x:c>
      <x:c r="E62" s="95" t="n">
        <x:v>-56.2</x:v>
      </x:c>
      <x:c r="F62" s="95" t="n">
        <x:v>-35.764</x:v>
      </x:c>
      <x:c r="G62" s="73"/>
      <x:c r="H62" s="73"/>
      <x:c r="I62" s="73"/>
    </x:row>
    <x:row r="63" ht="15" hidden="0" customHeight="1">
      <x:c r="C63" s="188" t="str">
        <x:v>Purchase of long-lived assets</x:v>
      </x:c>
      <x:c r="D63" s="95" t="n">
        <x:v>-18.128</x:v>
      </x:c>
      <x:c r="E63" s="95" t="n">
        <x:v>-12.432</x:v>
      </x:c>
      <x:c r="F63" s="95" t="n">
        <x:v>-10.389</x:v>
      </x:c>
      <x:c r="G63" s="73"/>
      <x:c r="H63" s="73"/>
      <x:c r="I63" s="73"/>
    </x:row>
    <x:row r="64" ht="40" hidden="0" customHeight="1">
      <x:c r="C64" s="188" t="str">
        <x:v>Net cash (used in) provided by investing activities</x:v>
      </x:c>
      <x:c r="D64" s="95" t="n">
        <x:v>186.301</x:v>
      </x:c>
      <x:c r="E64" s="95" t="n">
        <x:v>-84.035</x:v>
      </x:c>
      <x:c r="F64" s="94" t="str">
        <x:v>n.a.</x:v>
      </x:c>
      <x:c r="G64" s="73"/>
      <x:c r="H64" s="73"/>
      <x:c r="I64" s="73"/>
    </x:row>
    <x:row r="65" ht="40" hidden="0" customHeight="1">
      <x:c r="C65" s="188" t="str">
        <x:v>Net changes in deposits held for stablecoin holders</x:v>
      </x:c>
      <x:c r="D65" s="95" t="n">
        <x:v>19452.147</x:v>
      </x:c>
      <x:c r="E65" s="95" t="n">
        <x:v>31139.764</x:v>
      </x:c>
      <x:c r="F65" s="95" t="n">
        <x:v>-2011.494</x:v>
      </x:c>
      <x:c r="G65" s="73"/>
      <x:c r="H65" s="73"/>
      <x:c r="I65" s="73"/>
    </x:row>
    <x:row r="66" ht="15" hidden="0" customHeight="1">
      <x:c r="C66" s="188" t="str">
        <x:v>Purchase of treasury stock</x:v>
      </x:c>
      <x:c r="D66" s="95" t="n">
        <x:v>0</x:v>
      </x:c>
      <x:c r="E66" s="95" t="n">
        <x:v>0</x:v>
      </x:c>
      <x:c r="F66" s="94" t="str">
        <x:v>n.a.</x:v>
      </x:c>
      <x:c r="G66" s="73"/>
      <x:c r="H66" s="73"/>
      <x:c r="I66" s="73"/>
    </x:row>
    <x:row r="67" ht="40" hidden="0" customHeight="1">
      <x:c r="C67" s="188" t="str">
        <x:v>Proceeds from issuance of common stock in connection with initial public offering and follow-on public offering, net of underwriting discounts and commissions and offering costs</x:v>
      </x:c>
      <x:c r="D67" s="95" t="n">
        <x:v>0</x:v>
      </x:c>
      <x:c r="E67" s="95" t="n">
        <x:v>1013.097</x:v>
      </x:c>
      <x:c r="F67" s="94" t="str">
        <x:v>n.a.</x:v>
      </x:c>
      <x:c r="G67" s="73"/>
      <x:c r="H67" s="73"/>
      <x:c r="I67" s="73"/>
    </x:row>
    <x:row r="68" ht="40" hidden="0" customHeight="1">
      <x:c r="C68" s="188" t="str">
        <x:v>Payment of withholding taxes on settlement of restricted stock units</x:v>
      </x:c>
      <x:c r="D68" s="95" t="n">
        <x:v>0</x:v>
      </x:c>
      <x:c r="E68" s="95" t="n">
        <x:v>-269.732</x:v>
      </x:c>
      <x:c r="F68" s="95" t="n">
        <x:v>-149.496</x:v>
      </x:c>
      <x:c r="G68" s="73"/>
      <x:c r="H68" s="73"/>
      <x:c r="I68" s="73"/>
    </x:row>
    <x:row r="69" ht="40" hidden="0" customHeight="1">
      <x:c r="C69" s="188" t="str">
        <x:v>Capital contribution from noncontrolling interest</x:v>
      </x:c>
      <x:c r="D69" s="95" t="n">
        <x:v>0</x:v>
      </x:c>
      <x:c r="E69" s="95" t="n">
        <x:v>1.472</x:v>
      </x:c>
      <x:c r="F69" s="94" t="str">
        <x:v>n.a.</x:v>
      </x:c>
      <x:c r="G69" s="73"/>
      <x:c r="H69" s="73"/>
      <x:c r="I69" s="73"/>
    </x:row>
    <x:row r="70" ht="15" hidden="0" customHeight="1">
      <x:c r="C70" s="188" t="str">
        <x:v>Capitalized transaction costs</x:v>
      </x:c>
      <x:c r="D70" s="95" t="n">
        <x:v>-3.87</x:v>
      </x:c>
      <x:c r="E70" s="95" t="n">
        <x:v>0</x:v>
      </x:c>
      <x:c r="F70" s="94" t="str">
        <x:v>n.a.</x:v>
      </x:c>
      <x:c r="G70" s="73"/>
      <x:c r="H70" s="73"/>
      <x:c r="I70" s="73"/>
    </x:row>
    <x:row r="71" ht="40" hidden="0" customHeight="1">
      <x:c r="C71" s="188" t="str">
        <x:v>Proceeds from exercise of stock options</x:v>
      </x:c>
      <x:c r="D71" s="95" t="n">
        <x:v>1.614</x:v>
      </x:c>
      <x:c r="E71" s="95" t="n">
        <x:v>51.759</x:v>
      </x:c>
      <x:c r="F71" s="95" t="n">
        <x:v>41.628</x:v>
      </x:c>
      <x:c r="G71" s="73"/>
      <x:c r="H71" s="73"/>
      <x:c r="I71" s="73"/>
    </x:row>
    <x:row r="72" ht="40" hidden="0" customHeight="1">
      <x:c r="C72" s="188" t="str">
        <x:v>Net cash provided by (used in) financing activities</x:v>
      </x:c>
      <x:c r="D72" s="95" t="n">
        <x:v>19449.891</x:v>
      </x:c>
      <x:c r="E72" s="95" t="n">
        <x:v>31936.36</x:v>
      </x:c>
      <x:c r="F72" s="94" t="str">
        <x:v>n.a.</x:v>
      </x:c>
      <x:c r="G72" s="73"/>
      <x:c r="H72" s="73"/>
      <x:c r="I72" s="73"/>
    </x:row>
    <x:row r="73" ht="40" hidden="0" customHeight="1">
      <x:c r="C73" s="188" t="str">
        <x:v>Effect of exchange rate changes on cash and cash equivalents, restricted and segregated cash</x:v>
      </x:c>
      <x:c r="D73" s="95" t="n">
        <x:v>-7.099</x:v>
      </x:c>
      <x:c r="E73" s="95" t="n">
        <x:v>57.675</x:v>
      </x:c>
      <x:c r="F73" s="95" t="n">
        <x:v>7.626</x:v>
      </x:c>
      <x:c r="G73" s="73"/>
      <x:c r="H73" s="73"/>
      <x:c r="I73" s="73"/>
    </x:row>
    <x:row r="74" ht="40" hidden="0" customHeight="1">
      <x:c r="C74" s="188" t="str">
        <x:v>Unrealized (losses) gains on available-for-sale debt securities classified as cash equivalents, net of tax</x:v>
      </x:c>
      <x:c r="D74" s="95" t="n">
        <x:v>-0.224</x:v>
      </x:c>
      <x:c r="E74" s="95" t="n">
        <x:v>0</x:v>
      </x:c>
      <x:c r="F74" s="94" t="str">
        <x:v>n.a.</x:v>
      </x:c>
      <x:c r="G74" s="73"/>
      <x:c r="H74" s="73"/>
      <x:c r="I74" s="73"/>
    </x:row>
    <x:row r="75" ht="40" hidden="0" customHeight="1">
      <x:c r="C75" s="188" t="str">
        <x:v>Net increase (decrease) in cash and cash equivalents, restricted and segregated cash</x:v>
      </x:c>
      <x:c r="D75" s="95" t="n">
        <x:v>19973.445</x:v>
      </x:c>
      <x:c r="E75" s="95" t="n">
        <x:v>32452.129</x:v>
      </x:c>
      <x:c r="F75" s="94" t="str">
        <x:v>n.a.</x:v>
      </x:c>
      <x:c r="G75" s="73"/>
      <x:c r="H75" s="73"/>
      <x:c r="I75" s="73"/>
    </x:row>
    <x:row r="76" ht="40" hidden="0" customHeight="1">
      <x:c r="C76" s="188" t="str">
        <x:v>Cash and cash equivalents, restricted and segregated cash at the beginning of the period</x:v>
      </x:c>
      <x:c r="D76" s="95" t="n">
        <x:v>24994.159</x:v>
      </x:c>
      <x:c r="E76" s="95" t="n">
        <x:v>44967.604</x:v>
      </x:c>
      <x:c r="F76" s="95" t="n">
        <x:v>77419.733</x:v>
      </x:c>
      <x:c r="G76" s="73"/>
      <x:c r="H76" s="73"/>
      <x:c r="I76" s="73"/>
    </x:row>
    <x:row r="77" ht="40" hidden="0" customHeight="1">
      <x:c r="C77" s="188" t="str">
        <x:v>Cash and cash equivalents, restricted and segregated cash at the end of the period</x:v>
      </x:c>
      <x:c r="D77" s="95" t="n">
        <x:v>44967.604</x:v>
      </x:c>
      <x:c r="E77" s="95" t="n">
        <x:v>77419.733</x:v>
      </x:c>
      <x:c r="F77" s="95" t="n">
        <x:v>75793.415</x:v>
      </x:c>
      <x:c r="G77" s="73"/>
      <x:c r="H77" s="73"/>
      <x:c r="I77" s="73"/>
    </x:row>
    <x:row r="78" ht="15" hidden="0" customHeight="1">
      <x:c r="C78" s="188" t="str">
        <x:v>Cash composition: Cash and cash equivalents</x:v>
      </x:c>
      <x:c r="D78" s="95" t="n">
        <x:v>750.981</x:v>
      </x:c>
      <x:c r="E78" s="95" t="n">
        <x:v>1526.046</x:v>
      </x:c>
      <x:c r="F78" s="94" t="str">
        <x:v>n.a.</x:v>
      </x:c>
      <x:c r="G78" s="73"/>
      <x:c r="H78" s="73"/>
      <x:c r="I78" s="73"/>
    </x:row>
    <x:row r="79" ht="15" hidden="0" customHeight="1">
      <x:c r="C79" s="188" t="str">
        <x:v>Cash composition: Restricted cash</x:v>
      </x:c>
      <x:c r="D79" s="95" t="n">
        <x:v>3.558</x:v>
      </x:c>
      <x:c r="E79" s="95" t="n">
        <x:v>2.792</x:v>
      </x:c>
      <x:c r="F79" s="94" t="str">
        <x:v>n.a.</x:v>
      </x:c>
      <x:c r="G79" s="73"/>
      <x:c r="H79" s="73"/>
      <x:c r="I79" s="73"/>
    </x:row>
    <x:row r="80" ht="40" hidden="0" customHeight="1">
      <x:c r="C80" s="188" t="str">
        <x:v>Cash composition: Cash and cash equivalents segregated for corporate-held stablecoins</x:v>
      </x:c>
      <x:c r="D80" s="95" t="n">
        <x:v>294.493</x:v>
      </x:c>
      <x:c r="E80" s="95" t="n">
        <x:v>822.963</x:v>
      </x:c>
      <x:c r="F80" s="94" t="str">
        <x:v>n.a.</x:v>
      </x:c>
      <x:c r="G80" s="73"/>
      <x:c r="H80" s="73"/>
      <x:c r="I80" s="73"/>
    </x:row>
    <x:row r="81" ht="40" hidden="0" customHeight="1">
      <x:c r="C81" s="188" t="str">
        <x:v>Cash composition: Cash and cash equivalents segregated for the benefit of stablecoin holders</x:v>
      </x:c>
      <x:c r="D81" s="95" t="n">
        <x:v>43918.572</x:v>
      </x:c>
      <x:c r="E81" s="95" t="n">
        <x:v>75067.932</x:v>
      </x:c>
      <x:c r="F81" s="94" t="str">
        <x:v>n.a.</x:v>
      </x:c>
      <x:c r="G81" s="73"/>
      <x:c r="H81" s="73"/>
      <x:c r="I81" s="73"/>
    </x:row>
    <x:row r="82" ht="40" hidden="0" customHeight="1">
      <x:c r="C82" s="188" t="str">
        <x:v>Cash composition: Total cash and cash equivalents, restricted and segregated cash</x:v>
      </x:c>
      <x:c r="D82" s="95" t="n">
        <x:v>44967.604</x:v>
      </x:c>
      <x:c r="E82" s="95" t="n">
        <x:v>77419.733</x:v>
      </x:c>
      <x:c r="F82" s="94" t="str">
        <x:v>n.a.</x:v>
      </x:c>
      <x:c r="G82" s="73"/>
      <x:c r="H82" s="73"/>
      <x:c r="I82" s="73"/>
    </x:row>
    <x:row r="83" ht="15" hidden="0" customHeight="1">
      <x:c r="C83" s="188" t="str">
        <x:v>U.S. Federal</x:v>
      </x:c>
      <x:c r="D83" s="95" t="n">
        <x:v>61.572</x:v>
      </x:c>
      <x:c r="E83" s="95" t="n">
        <x:v>11.5</x:v>
      </x:c>
      <x:c r="F83" s="94" t="str">
        <x:v>n.a.</x:v>
      </x:c>
      <x:c r="G83" s="73"/>
      <x:c r="H83" s="73"/>
      <x:c r="I83" s="73"/>
    </x:row>
    <x:row r="84" ht="15" hidden="0" customHeight="1">
      <x:c r="C84" s="188" t="str">
        <x:v>New York</x:v>
      </x:c>
      <x:c r="D84" s="95" t="n">
        <x:v>4.6</x:v>
      </x:c>
      <x:c r="E84" s="95" t="n">
        <x:v>0</x:v>
      </x:c>
      <x:c r="F84" s="94" t="str">
        <x:v>n.a.</x:v>
      </x:c>
      <x:c r="G84" s="73"/>
      <x:c r="H84" s="73"/>
      <x:c r="I84" s="73"/>
    </x:row>
    <x:row r="85" ht="15" hidden="0" customHeight="1">
      <x:c r="C85" s="188" t="str">
        <x:v>New York City</x:v>
      </x:c>
      <x:c r="D85" s="95" t="n">
        <x:v>4.061</x:v>
      </x:c>
      <x:c r="E85" s="95" t="n">
        <x:v>0.708</x:v>
      </x:c>
      <x:c r="F85" s="94" t="str">
        <x:v>n.a.</x:v>
      </x:c>
      <x:c r="G85" s="73"/>
      <x:c r="H85" s="73"/>
      <x:c r="I85" s="73"/>
    </x:row>
    <x:row r="86" ht="15" hidden="0" customHeight="1">
      <x:c r="C86" s="188" t="str">
        <x:v>Other States</x:v>
      </x:c>
      <x:c r="D86" s="95" t="n">
        <x:v>4.339</x:v>
      </x:c>
      <x:c r="E86" s="95" t="n">
        <x:v>-0.551</x:v>
      </x:c>
      <x:c r="F86" s="94" t="str">
        <x:v>n.a.</x:v>
      </x:c>
      <x:c r="G86" s="73"/>
      <x:c r="H86" s="73"/>
      <x:c r="I86" s="73"/>
    </x:row>
    <x:row r="87" ht="15" hidden="0" customHeight="1">
      <x:c r="C87" s="188" t="str">
        <x:v>Foreign - Other jurisdictions</x:v>
      </x:c>
      <x:c r="D87" s="95" t="n">
        <x:v>1.007</x:v>
      </x:c>
      <x:c r="E87" s="95" t="n">
        <x:v>1.673</x:v>
      </x:c>
      <x:c r="F87" s="94" t="str">
        <x:v>n.a.</x:v>
      </x:c>
      <x:c r="G87" s="73"/>
      <x:c r="H87" s="73"/>
      <x:c r="I87" s="73"/>
    </x:row>
    <x:row r="88" ht="15" hidden="0" customHeight="1">
      <x:c r="C88" s="188" t="str">
        <x:v>Total cash paid for income taxes</x:v>
      </x:c>
      <x:c r="D88" s="95" t="n">
        <x:v>75.579</x:v>
      </x:c>
      <x:c r="E88" s="95" t="n">
        <x:v>13.33</x:v>
      </x:c>
      <x:c r="F88" s="94" t="str">
        <x:v>n.a.</x:v>
      </x:c>
      <x:c r="G88" s="73"/>
      <x:c r="H88" s="73"/>
      <x:c r="I88" s="73"/>
    </x:row>
    <x:row r="89" ht="40" hidden="0" customHeight="1">
      <x:c r="C89" s="188" t="str">
        <x:v>Cash paid for interest</x:v>
      </x:c>
      <x:c r="D89" s="95" t="n">
        <x:v>0.258</x:v>
      </x:c>
      <x:c r="E89" s="95" t="n">
        <x:v>0.18</x:v>
      </x:c>
      <x:c r="F89" s="95" t="n">
        <x:v>0.216</x:v>
      </x:c>
      <x:c r="G89" s="73"/>
      <x:c r="H89" s="73"/>
      <x:c r="I89" s="73"/>
    </x:row>
    <x:row r="90" ht="40" hidden="0" customHeight="1">
      <x:c r="C90" s="188" t="str">
        <x:v>Obligations to return digital asset collateral</x:v>
      </x:c>
      <x:c r="D90" s="95" t="n">
        <x:v>-2.7</x:v>
      </x:c>
      <x:c r="E90" s="95" t="n">
        <x:v>0</x:v>
      </x:c>
      <x:c r="F90" s="94" t="str">
        <x:v>n.a.</x:v>
      </x:c>
      <x:c r="G90" s="73"/>
      <x:c r="H90" s="73"/>
      <x:c r="I90" s="73"/>
    </x:row>
    <x:row r="91" ht="40" hidden="0" customHeight="1">
      <x:c r="C91" s="188" t="str">
        <x:v>Digital assets collateral received</x:v>
      </x:c>
      <x:c r="D91" s="95" t="n">
        <x:v>1.905</x:v>
      </x:c>
      <x:c r="E91" s="95" t="n">
        <x:v>0</x:v>
      </x:c>
      <x:c r="F91" s="94" t="str">
        <x:v>n.a.</x:v>
      </x:c>
      <x:c r="G91" s="73"/>
      <x:c r="H91" s="73"/>
      <x:c r="I91" s="73"/>
    </x:row>
    <x:row r="92" ht="40" hidden="0" customHeight="1">
      <x:c r="C92" s="188" t="str">
        <x:v>Net changes in the purchase and redemption of digital financial assets</x:v>
      </x:c>
      <x:c r="D92" s="95" t="n">
        <x:v>14.328</x:v>
      </x:c>
      <x:c r="E92" s="95" t="n">
        <x:v>-13.81</x:v>
      </x:c>
      <x:c r="F92" s="95" t="n">
        <x:v>0.821</x:v>
      </x:c>
      <x:c r="G92" s="73"/>
      <x:c r="H92" s="73"/>
      <x:c r="I92" s="73"/>
    </x:row>
    <x:row r="93" ht="40" hidden="0" customHeight="1">
      <x:c r="C93" s="188" t="str">
        <x:v>Proceeds from sale of intangible assets</x:v>
      </x:c>
      <x:c r="D93" s="95" t="n">
        <x:v>0</x:v>
      </x:c>
      <x:c r="E93" s="95" t="n">
        <x:v>0</x:v>
      </x:c>
      <x:c r="F93" s="94" t="str">
        <x:v>n.a.</x:v>
      </x:c>
      <x:c r="G93" s="73"/>
      <x:c r="H93" s="73"/>
      <x:c r="I93" s="73"/>
    </x:row>
    <x:row r="94" ht="40" hidden="0" customHeight="1">
      <x:c r="C94" s="188" t="str">
        <x:v>Net changes in stablecoins receivable</x:v>
      </x:c>
      <x:c r="D94" s="95" t="n">
        <x:v>16.513</x:v>
      </x:c>
      <x:c r="E94" s="95" t="n">
        <x:v>7</x:v>
      </x:c>
      <x:c r="F94" s="95" t="n">
        <x:v>0</x:v>
      </x:c>
      <x:c r="G94" s="73"/>
      <x:c r="H94" s="73"/>
      <x:c r="I94" s="73"/>
    </x:row>
    <x:row r="95" ht="40" hidden="0" customHeight="1">
      <x:c r="C95" s="188" t="str">
        <x:v>Non-cash purchase of investments and digital assets</x:v>
      </x:c>
      <x:c r="D95" s="95" t="n">
        <x:v>-6.57</x:v>
      </x:c>
      <x:c r="E95" s="95" t="n">
        <x:v>-5.203</x:v>
      </x:c>
      <x:c r="F95" s="95" t="n">
        <x:v>-21.854</x:v>
      </x:c>
      <x:c r="G95" s="73"/>
      <x:c r="H95" s="73"/>
      <x:c r="I95" s="73"/>
    </x:row>
    <x:row r="96" ht="40" hidden="0" customHeight="1">
      <x:c r="C96" s="188" t="str">
        <x:v>Re-issuance of treasury stock to Circle Foundation</x:v>
      </x:c>
      <x:c r="D96" s="95" t="n">
        <x:v>0</x:v>
      </x:c>
      <x:c r="E96" s="95" t="n">
        <x:v>23.182</x:v>
      </x:c>
      <x:c r="F96" s="95" t="n">
        <x:v>13.148</x:v>
      </x:c>
      <x:c r="G96" s="73"/>
      <x:c r="H96" s="73"/>
      <x:c r="I96" s="73"/>
    </x:row>
    <x:row r="97" ht="40" hidden="0" customHeight="1">
      <x:c r="C97" s="188" t="str">
        <x:v>Conversion of convertible debt</x:v>
      </x:c>
      <x:c r="D97" s="95" t="n">
        <x:v>14.967</x:v>
      </x:c>
      <x:c r="E97" s="95" t="n">
        <x:v>89.003</x:v>
      </x:c>
      <x:c r="F97" s="95" t="n">
        <x:v>39.382</x:v>
      </x:c>
      <x:c r="G97" s="73"/>
      <x:c r="H97" s="73"/>
      <x:c r="I97" s="73"/>
    </x:row>
    <x:row r="98" ht="40" hidden="0" customHeight="1">
      <x:c r="C98" s="188" t="str">
        <x:v>Capitalized stock-based compensation expense related to internally developed software</x:v>
      </x:c>
      <x:c r="D98" s="95" t="n">
        <x:v>13.646</x:v>
      </x:c>
      <x:c r="E98" s="95" t="n">
        <x:v>86.905</x:v>
      </x:c>
      <x:c r="F98" s="95" t="n">
        <x:v>23.211</x:v>
      </x:c>
      <x:c r="G98" s="73"/>
      <x:c r="H98" s="73"/>
      <x:c r="I98" s="73"/>
    </x:row>
    <x:row r="99" ht="40" hidden="0" customHeight="1">
      <x:c r="C99" s="188" t="str">
        <x:v>Purchases of long-lived assets included in accounts payable and accrued expenses</x:v>
      </x:c>
      <x:c r="D99" s="95" t="n">
        <x:v>2.874</x:v>
      </x:c>
      <x:c r="E99" s="95" t="n">
        <x:v>-2.722</x:v>
      </x:c>
      <x:c r="F99" s="95" t="n">
        <x:v>-20</x:v>
      </x:c>
      <x:c r="G99" s="73"/>
      <x:c r="H99" s="73"/>
      <x:c r="I99" s="73"/>
    </x:row>
    <x:row r="100" ht="40" hidden="0" customHeight="1">
      <x:c r="C100" s="188" t="str">
        <x:v>Unrealized (loss) gain on available-for-sale debt securities</x:v>
      </x:c>
      <x:c r="D100" s="95" t="n">
        <x:v>-0.224</x:v>
      </x:c>
      <x:c r="E100" s="95" t="n">
        <x:v>0</x:v>
      </x:c>
      <x:c r="F100" s="94" t="str">
        <x:v>n.a.</x:v>
      </x:c>
      <x:c r="G100" s="73"/>
      <x:c r="H100" s="73"/>
      <x:c r="I100" s="73"/>
    </x:row>
    <x:row r="101" ht="40" hidden="0" customHeight="1">
      <x:c r="C101" s="188" t="str">
        <x:v>Unrealized (loss) gain on convertible notes - credit risk, net of tax</x:v>
      </x:c>
      <x:c r="D101" s="95" t="n">
        <x:v>0.84</x:v>
      </x:c>
      <x:c r="E101" s="95" t="n">
        <x:v>-0.049</x:v>
      </x:c>
      <x:c r="F101" s="95" t="n">
        <x:v>0</x:v>
      </x:c>
      <x:c r="G101" s="73"/>
      <x:c r="H101" s="73"/>
      <x:c r="I101" s="73"/>
    </x:row>
    <x:row r="102" ht="40" hidden="0" customHeight="1">
      <x:c r="C102" s="188" t="str">
        <x:v>Non-cash consideration for acquisitions</x:v>
      </x:c>
      <x:c r="D102" s="95" t="n">
        <x:v>0</x:v>
      </x:c>
      <x:c r="E102" s="95" t="n">
        <x:v>-92.294</x:v>
      </x:c>
      <x:c r="F102" s="95" t="n">
        <x:v>-1.15</x:v>
      </x:c>
      <x:c r="G102" s="73"/>
      <x:c r="H102" s="73"/>
      <x:c r="I102" s="73"/>
    </x:row>
    <x:row r="103" ht="40" hidden="0" customHeight="1">
      <x:c r="C103" s="188" t="str">
        <x:v>Conversion of redeemable convertible preferred stock to common stock in connection with initial public offering</x:v>
      </x:c>
      <x:c r="D103" s="95" t="n">
        <x:v>0</x:v>
      </x:c>
      <x:c r="E103" s="95" t="n">
        <x:v>1140.502</x:v>
      </x:c>
      <x:c r="F103" s="95" t="n">
        <x:v>0</x:v>
      </x:c>
      <x:c r="G103" s="73"/>
      <x:c r="H103" s="73"/>
      <x:c r="I103" s="73"/>
    </x:row>
    <x:row r="104" ht="40" hidden="0" customHeight="1">
      <x:c r="C104" s="188" t="str">
        <x:v>Net income (loss) from continuing operations</x:v>
      </x:c>
      <x:c r="D104" s="94" t="str">
        <x:v>n.a.</x:v>
      </x:c>
      <x:c r="E104" s="94" t="str">
        <x:v>n.a.</x:v>
      </x:c>
      <x:c r="F104" s="95" t="n">
        <x:v>103.46</x:v>
      </x:c>
      <x:c r="G104" s="73"/>
      <x:c r="H104" s="73"/>
      <x:c r="I104" s="73"/>
    </x:row>
    <x:row r="105" ht="40" hidden="0" customHeight="1">
      <x:c r="C105" s="188" t="str">
        <x:v>Adjustments to reconcile net income (loss) from continuing operations to net cash provided by operating activities: Depreciation and amortization expense</x:v>
      </x:c>
      <x:c r="D105" s="94" t="str">
        <x:v>n.a.</x:v>
      </x:c>
      <x:c r="E105" s="94" t="str">
        <x:v>n.a.</x:v>
      </x:c>
      <x:c r="F105" s="95" t="n">
        <x:v>56.663</x:v>
      </x:c>
      <x:c r="G105" s="73"/>
      <x:c r="H105" s="73"/>
      <x:c r="I105" s="73"/>
    </x:row>
    <x:row r="106" ht="40" hidden="0" customHeight="1">
      <x:c r="C106" s="188" t="str">
        <x:v>Realized and unrealized losses (gains) on digital assets</x:v>
      </x:c>
      <x:c r="D106" s="94" t="str">
        <x:v>n.a.</x:v>
      </x:c>
      <x:c r="E106" s="94" t="str">
        <x:v>n.a.</x:v>
      </x:c>
      <x:c r="F106" s="95" t="n">
        <x:v>6.375</x:v>
      </x:c>
      <x:c r="G106" s="73"/>
      <x:c r="H106" s="73"/>
      <x:c r="I106" s="73"/>
    </x:row>
    <x:row r="107" ht="40" hidden="0" customHeight="1">
      <x:c r="C107" s="188" t="str">
        <x:v>Adjustments to reconcile net income (loss) from continuing operations to net cash provided by operating activities: Change in fair value of convertible debt, warrant liability, and embedded derivatives</x:v>
      </x:c>
      <x:c r="D107" s="94" t="str">
        <x:v>n.a.</x:v>
      </x:c>
      <x:c r="E107" s="94" t="str">
        <x:v>n.a.</x:v>
      </x:c>
      <x:c r="F107" s="95" t="n">
        <x:v>6.716</x:v>
      </x:c>
      <x:c r="G107" s="73"/>
      <x:c r="H107" s="73"/>
      <x:c r="I107" s="73"/>
    </x:row>
    <x:row r="108" ht="40" hidden="0" customHeight="1">
      <x:c r="C108" s="188" t="str">
        <x:v>Adjustments to reconcile net income (loss) from continuing operations to net cash provided by operating activities: Digital assets received for services</x:v>
      </x:c>
      <x:c r="D108" s="94" t="str">
        <x:v>n.a.</x:v>
      </x:c>
      <x:c r="E108" s="94" t="str">
        <x:v>n.a.</x:v>
      </x:c>
      <x:c r="F108" s="95" t="n">
        <x:v>-15.96</x:v>
      </x:c>
      <x:c r="G108" s="73"/>
      <x:c r="H108" s="73"/>
      <x:c r="I108" s="73"/>
    </x:row>
    <x:row r="109" ht="40" hidden="0" customHeight="1">
      <x:c r="C109" s="188" t="str">
        <x:v>Adjustments to reconcile net income (loss) from continuing operations to net cash provided by operating activities: Equity securities received for services</x:v>
      </x:c>
      <x:c r="D109" s="94" t="str">
        <x:v>n.a.</x:v>
      </x:c>
      <x:c r="E109" s="94" t="str">
        <x:v>n.a.</x:v>
      </x:c>
      <x:c r="F109" s="95" t="n">
        <x:v>-0.01</x:v>
      </x:c>
      <x:c r="G109" s="73"/>
      <x:c r="H109" s="73"/>
      <x:c r="I109" s="73"/>
    </x:row>
    <x:row r="110" ht="40" hidden="0" customHeight="1">
      <x:c r="C110" s="188" t="str">
        <x:v>Adjustments to reconcile net income (loss) from continuing operations to net cash provided by operating activities: Deferred taxes</x:v>
      </x:c>
      <x:c r="D110" s="94" t="str">
        <x:v>n.a.</x:v>
      </x:c>
      <x:c r="E110" s="94" t="str">
        <x:v>n.a.</x:v>
      </x:c>
      <x:c r="F110" s="95" t="n">
        <x:v>0.705</x:v>
      </x:c>
      <x:c r="G110" s="73"/>
      <x:c r="H110" s="73"/>
      <x:c r="I110" s="73"/>
    </x:row>
    <x:row r="111" ht="40" hidden="0" customHeight="1">
      <x:c r="C111" s="188" t="str">
        <x:v>Realized and unrealized losses (gains) on strategic investments</x:v>
      </x:c>
      <x:c r="D111" s="94" t="str">
        <x:v>n.a.</x:v>
      </x:c>
      <x:c r="E111" s="94" t="str">
        <x:v>n.a.</x:v>
      </x:c>
      <x:c r="F111" s="95" t="n">
        <x:v>-6.226</x:v>
      </x:c>
      <x:c r="G111" s="73"/>
      <x:c r="H111" s="73"/>
      <x:c r="I111" s="73"/>
    </x:row>
    <x:row r="112" ht="40" hidden="0" customHeight="1">
      <x:c r="C112" s="188" t="str">
        <x:v>Losses on sale of long-lived assets</x:v>
      </x:c>
      <x:c r="D112" s="94" t="str">
        <x:v>n.a.</x:v>
      </x:c>
      <x:c r="E112" s="94" t="str">
        <x:v>n.a.</x:v>
      </x:c>
      <x:c r="F112" s="95" t="n">
        <x:v>0</x:v>
      </x:c>
      <x:c r="G112" s="73"/>
      <x:c r="H112" s="73"/>
      <x:c r="I112" s="73"/>
    </x:row>
    <x:row r="113" ht="40" hidden="0" customHeight="1">
      <x:c r="C113" s="188" t="str">
        <x:v>Adjustments to reconcile net income (loss) from continuing operations to net cash provided by operating activities: Stock-based compensation</x:v>
      </x:c>
      <x:c r="D113" s="94" t="str">
        <x:v>n.a.</x:v>
      </x:c>
      <x:c r="E113" s="94" t="str">
        <x:v>n.a.</x:v>
      </x:c>
      <x:c r="F113" s="95" t="n">
        <x:v>105.435</x:v>
      </x:c>
      <x:c r="G113" s="73"/>
      <x:c r="H113" s="73"/>
      <x:c r="I113" s="73"/>
    </x:row>
    <x:row r="114" ht="40" hidden="0" customHeight="1">
      <x:c r="C114" s="188" t="str">
        <x:v>Adjustments to reconcile net income (loss) from continuing operations to net cash provided by operating activities: Charitable contributions to Circle Foundation</x:v>
      </x:c>
      <x:c r="D114" s="94" t="str">
        <x:v>n.a.</x:v>
      </x:c>
      <x:c r="E114" s="94" t="str">
        <x:v>n.a.</x:v>
      </x:c>
      <x:c r="F114" s="95" t="n">
        <x:v>13.148</x:v>
      </x:c>
      <x:c r="G114" s="73"/>
      <x:c r="H114" s="73"/>
      <x:c r="I114" s="73"/>
    </x:row>
    <x:row r="115" ht="40" hidden="0" customHeight="1">
      <x:c r="C115" s="188" t="str">
        <x:v>Foreign currency remeasurement (gains) losses</x:v>
      </x:c>
      <x:c r="D115" s="94" t="str">
        <x:v>n.a.</x:v>
      </x:c>
      <x:c r="E115" s="94" t="str">
        <x:v>n.a.</x:v>
      </x:c>
      <x:c r="F115" s="95" t="n">
        <x:v>-7.14</x:v>
      </x:c>
      <x:c r="G115" s="73"/>
      <x:c r="H115" s="73"/>
      <x:c r="I115" s="73"/>
    </x:row>
    <x:row r="116" ht="40" hidden="0" customHeight="1">
      <x:c r="C116" s="188" t="str">
        <x:v>Adjustments to reconcile net income (loss) from continuing operations to net cash provided by operating activities: Provision for warrants in common stock</x:v>
      </x:c>
      <x:c r="D116" s="94" t="str">
        <x:v>n.a.</x:v>
      </x:c>
      <x:c r="E116" s="94" t="str">
        <x:v>n.a.</x:v>
      </x:c>
      <x:c r="F116" s="95" t="n">
        <x:v>9.161</x:v>
      </x:c>
      <x:c r="G116" s="73"/>
      <x:c r="H116" s="73"/>
      <x:c r="I116" s="73"/>
    </x:row>
    <x:row r="117" ht="40" hidden="0" customHeight="1">
      <x:c r="C117" s="188" t="str">
        <x:v>Adjustments to reconcile net income (loss) from continuing operations to net cash provided by operating activities: Other non-cash items</x:v>
      </x:c>
      <x:c r="D117" s="94" t="str">
        <x:v>n.a.</x:v>
      </x:c>
      <x:c r="E117" s="94" t="str">
        <x:v>n.a.</x:v>
      </x:c>
      <x:c r="F117" s="95" t="n">
        <x:v>3.614</x:v>
      </x:c>
      <x:c r="G117" s="73"/>
      <x:c r="H117" s="73"/>
      <x:c r="I117" s="73"/>
    </x:row>
    <x:row r="118" ht="40" hidden="0" customHeight="1">
      <x:c r="C118" s="188" t="str">
        <x:v>Accounts receivable, net</x:v>
      </x:c>
      <x:c r="D118" s="94" t="str">
        <x:v>n.a.</x:v>
      </x:c>
      <x:c r="E118" s="94" t="str">
        <x:v>n.a.</x:v>
      </x:c>
      <x:c r="F118" s="95" t="n">
        <x:v>-24.482</x:v>
      </x:c>
      <x:c r="G118" s="73"/>
      <x:c r="H118" s="73"/>
      <x:c r="I118" s="73"/>
    </x:row>
    <x:row r="119" ht="40" hidden="0" customHeight="1">
      <x:c r="C119" s="188" t="str">
        <x:v>Changes in operating assets and liabilities:: Prepaid expenses and other current assets</x:v>
      </x:c>
      <x:c r="D119" s="94" t="str">
        <x:v>n.a.</x:v>
      </x:c>
      <x:c r="E119" s="94" t="str">
        <x:v>n.a.</x:v>
      </x:c>
      <x:c r="F119" s="95" t="n">
        <x:v>39.008</x:v>
      </x:c>
      <x:c r="G119" s="73"/>
      <x:c r="H119" s="73"/>
      <x:c r="I119" s="73"/>
    </x:row>
    <x:row r="120" ht="40" hidden="0" customHeight="1">
      <x:c r="C120" s="188" t="str">
        <x:v>Changes in operating assets and liabilities:: Accounts payable and accrued expenses</x:v>
      </x:c>
      <x:c r="D120" s="94" t="str">
        <x:v>n.a.</x:v>
      </x:c>
      <x:c r="E120" s="94" t="str">
        <x:v>n.a.</x:v>
      </x:c>
      <x:c r="F120" s="95" t="n">
        <x:v>31.923</x:v>
      </x:c>
      <x:c r="G120" s="73"/>
      <x:c r="H120" s="73"/>
      <x:c r="I120" s="73"/>
    </x:row>
    <x:row r="121" ht="40" hidden="0" customHeight="1">
      <x:c r="C121" s="188" t="str">
        <x:v>Changes in operating assets and liabilities:: Other current liabilities</x:v>
      </x:c>
      <x:c r="D121" s="94" t="str">
        <x:v>n.a.</x:v>
      </x:c>
      <x:c r="E121" s="94" t="str">
        <x:v>n.a.</x:v>
      </x:c>
      <x:c r="F121" s="95" t="n">
        <x:v>216.115</x:v>
      </x:c>
      <x:c r="G121" s="73"/>
      <x:c r="H121" s="73"/>
      <x:c r="I121" s="73"/>
    </x:row>
    <x:row r="122" ht="40" hidden="0" customHeight="1">
      <x:c r="C122" s="188" t="str">
        <x:v>Changes in operating assets and liabilities:: Net cash provided by operating activities</x:v>
      </x:c>
      <x:c r="D122" s="94" t="str">
        <x:v>n.a.</x:v>
      </x:c>
      <x:c r="E122" s="94" t="str">
        <x:v>n.a.</x:v>
      </x:c>
      <x:c r="F122" s="95" t="n">
        <x:v>538.505</x:v>
      </x:c>
      <x:c r="G122" s="73"/>
      <x:c r="H122" s="73"/>
      <x:c r="I122" s="73"/>
    </x:row>
    <x:row r="123" ht="40" hidden="0" customHeight="1">
      <x:c r="C123" s="188" t="str">
        <x:v>Net cash used in investing activities</x:v>
      </x:c>
      <x:c r="D123" s="94" t="str">
        <x:v>n.a.</x:v>
      </x:c>
      <x:c r="E123" s="94" t="str">
        <x:v>n.a.</x:v>
      </x:c>
      <x:c r="F123" s="95" t="n">
        <x:v>-57.209</x:v>
      </x:c>
      <x:c r="G123" s="73"/>
      <x:c r="H123" s="73"/>
      <x:c r="I123" s="73"/>
    </x:row>
    <x:row r="124" ht="40" hidden="0" customHeight="1">
      <x:c r="C124" s="188" t="str">
        <x:v>Proceeds from issuance of common stock in connection with initial public offering, net of underwriting discounts and commissions and offering costs</x:v>
      </x:c>
      <x:c r="D124" s="94" t="str">
        <x:v>n.a.</x:v>
      </x:c>
      <x:c r="E124" s="94" t="str">
        <x:v>n.a.</x:v>
      </x:c>
      <x:c r="F124" s="95" t="n">
        <x:v>0</x:v>
      </x:c>
      <x:c r="G124" s="73"/>
      <x:c r="H124" s="73"/>
      <x:c r="I124" s="73"/>
    </x:row>
    <x:row r="125" ht="40" hidden="0" customHeight="1">
      <x:c r="C125" s="188" t="str">
        <x:v>Proceeds received from Employee Stock Purchase Plan</x:v>
      </x:c>
      <x:c r="D125" s="94" t="str">
        <x:v>n.a.</x:v>
      </x:c>
      <x:c r="E125" s="94" t="str">
        <x:v>n.a.</x:v>
      </x:c>
      <x:c r="F125" s="95" t="n">
        <x:v>4.487</x:v>
      </x:c>
      <x:c r="G125" s="73"/>
      <x:c r="H125" s="73"/>
      <x:c r="I125" s="73"/>
    </x:row>
    <x:row r="126" ht="40" hidden="0" customHeight="1">
      <x:c r="C126" s="188" t="str">
        <x:v>Payment of deferred offering costs</x:v>
      </x:c>
      <x:c r="D126" s="94" t="str">
        <x:v>n.a.</x:v>
      </x:c>
      <x:c r="E126" s="94" t="str">
        <x:v>n.a.</x:v>
      </x:c>
      <x:c r="F126" s="95" t="n">
        <x:v>-0.365</x:v>
      </x:c>
      <x:c r="G126" s="73"/>
      <x:c r="H126" s="73"/>
      <x:c r="I126" s="73"/>
    </x:row>
    <x:row r="127" ht="40" hidden="0" customHeight="1">
      <x:c r="C127" s="188" t="str">
        <x:v>Net cash (used in) provided by financing activities</x:v>
      </x:c>
      <x:c r="D127" s="94" t="str">
        <x:v>n.a.</x:v>
      </x:c>
      <x:c r="E127" s="94" t="str">
        <x:v>n.a.</x:v>
      </x:c>
      <x:c r="F127" s="95" t="n">
        <x:v>-2115.24</x:v>
      </x:c>
      <x:c r="G127" s="73"/>
      <x:c r="H127" s="73"/>
      <x:c r="I127" s="73"/>
    </x:row>
    <x:row r="128" ht="40" hidden="0" customHeight="1">
      <x:c r="C128" s="188" t="str">
        <x:v>Net (decrease) increase in cash and cash equivalents, restricted and segregated cash</x:v>
      </x:c>
      <x:c r="D128" s="94" t="str">
        <x:v>n.a.</x:v>
      </x:c>
      <x:c r="E128" s="94" t="str">
        <x:v>n.a.</x:v>
      </x:c>
      <x:c r="F128" s="95" t="n">
        <x:v>-1626.318</x:v>
      </x:c>
      <x:c r="G128" s="73"/>
      <x:c r="H128" s="73"/>
      <x:c r="I128" s="73"/>
    </x:row>
    <x:row r="129" ht="40" hidden="0" customHeight="1">
      <x:c r="C129" s="188" t="str">
        <x:v>Cash and cash equivalents, restricted and segregated cash consisted of the following:: Cash and cash equivalents</x:v>
      </x:c>
      <x:c r="D129" s="94" t="str">
        <x:v>n.a.</x:v>
      </x:c>
      <x:c r="E129" s="94" t="str">
        <x:v>n.a.</x:v>
      </x:c>
      <x:c r="F129" s="95" t="n">
        <x:v>1730.126</x:v>
      </x:c>
      <x:c r="G129" s="73"/>
      <x:c r="H129" s="73"/>
      <x:c r="I129" s="73"/>
    </x:row>
    <x:row r="130" ht="40" hidden="0" customHeight="1">
      <x:c r="C130" s="188" t="str">
        <x:v>Cash and cash equivalents, restricted and segregated cash consisted of the following:: Restricted cash</x:v>
      </x:c>
      <x:c r="D130" s="94" t="str">
        <x:v>n.a.</x:v>
      </x:c>
      <x:c r="E130" s="94" t="str">
        <x:v>n.a.</x:v>
      </x:c>
      <x:c r="F130" s="95" t="n">
        <x:v>12.806</x:v>
      </x:c>
      <x:c r="G130" s="73"/>
      <x:c r="H130" s="73"/>
      <x:c r="I130" s="73"/>
    </x:row>
    <x:row r="131" ht="40" hidden="0" customHeight="1">
      <x:c r="C131" s="188" t="str">
        <x:v>Cash and cash equivalents, restricted and segregated cash consisted of the following:: Cash and cash equivalents segregated for corporate-held stablecoins</x:v>
      </x:c>
      <x:c r="D131" s="94" t="str">
        <x:v>n.a.</x:v>
      </x:c>
      <x:c r="E131" s="94" t="str">
        <x:v>n.a.</x:v>
      </x:c>
      <x:c r="F131" s="95" t="n">
        <x:v>889.311</x:v>
      </x:c>
      <x:c r="G131" s="73"/>
      <x:c r="H131" s="73"/>
      <x:c r="I131" s="73"/>
    </x:row>
    <x:row r="132" ht="40" hidden="0" customHeight="1">
      <x:c r="C132" s="188" t="str">
        <x:v>Cash and cash equivalents, restricted and segregated cash consisted of the following:: Cash and cash equivalents segregated for the benefit of stablecoin holders</x:v>
      </x:c>
      <x:c r="D132" s="94" t="str">
        <x:v>n.a.</x:v>
      </x:c>
      <x:c r="E132" s="94" t="str">
        <x:v>n.a.</x:v>
      </x:c>
      <x:c r="F132" s="95" t="n">
        <x:v>73161.172</x:v>
      </x:c>
      <x:c r="G132" s="73"/>
      <x:c r="H132" s="73"/>
      <x:c r="I132" s="73"/>
    </x:row>
    <x:row r="133" ht="40" hidden="0" customHeight="1">
      <x:c r="C133" s="188" t="str">
        <x:v>Cash and cash equivalents, restricted and segregated cash consisted of the following:: Total cash and cash equivalents, restricted and segregated cash</x:v>
      </x:c>
      <x:c r="D133" s="94" t="str">
        <x:v>n.a.</x:v>
      </x:c>
      <x:c r="E133" s="94" t="str">
        <x:v>n.a.</x:v>
      </x:c>
      <x:c r="F133" s="95" t="n">
        <x:v>75793.415</x:v>
      </x:c>
      <x:c r="G133" s="73"/>
      <x:c r="H133" s="73"/>
      <x:c r="I133" s="73"/>
    </x:row>
    <x:row r="134" ht="40" hidden="0" customHeight="1">
      <x:c r="C134" s="188" t="str">
        <x:v>Cash paid for income taxes, net of refunds</x:v>
      </x:c>
      <x:c r="D134" s="94" t="str">
        <x:v>n.a.</x:v>
      </x:c>
      <x:c r="E134" s="94" t="str">
        <x:v>n.a.</x:v>
      </x:c>
      <x:c r="F134" s="95" t="n">
        <x:v>-10.762</x:v>
      </x:c>
      <x:c r="G134" s="73"/>
      <x:c r="H134" s="73"/>
      <x:c r="I134" s="73"/>
    </x:row>
    <x:row r="135" ht="40" hidden="0" customHeight="1">
      <x:c r="C135" s="188" t="str">
        <x:v>Non-cash purchase of long-lived assets</x:v>
      </x:c>
      <x:c r="D135" s="94" t="str">
        <x:v>n.a.</x:v>
      </x:c>
      <x:c r="E135" s="94" t="str">
        <x:v>n.a.</x:v>
      </x:c>
      <x:c r="F135" s="95" t="n">
        <x:v>-0.2</x:v>
      </x:c>
      <x:c r="G135" s="73"/>
      <x:c r="H135" s="73"/>
      <x:c r="I135" s="73"/>
    </x:row>
    <x:row r="136" ht="40" hidden="0" customHeight="1">
      <x:c r="C136" s="188" t="str">
        <x:v>Non-cash proceeds from sale of digital assets</x:v>
      </x:c>
      <x:c r="D136" s="94" t="str">
        <x:v>n.a.</x:v>
      </x:c>
      <x:c r="E136" s="94" t="str">
        <x:v>n.a.</x:v>
      </x:c>
      <x:c r="F136" s="95" t="n">
        <x:v>2.851</x:v>
      </x:c>
      <x:c r="G136" s="73"/>
      <x:c r="H136" s="73"/>
      <x:c r="I136" s="73"/>
    </x:row>
    <x:row r="137" ht="40" hidden="0" customHeight="1">
      <x:c r="C137" s="188" t="str">
        <x:v>Deferred offering costs not yet paid</x:v>
      </x:c>
      <x:c r="D137" s="94" t="str">
        <x:v>n.a.</x:v>
      </x:c>
      <x:c r="E137" s="94" t="str">
        <x:v>n.a.</x:v>
      </x:c>
      <x:c r="F137" s="95" t="n">
        <x:v>0</x:v>
      </x:c>
      <x:c r="G137" s="73"/>
      <x:c r="H137" s="73"/>
      <x:c r="I137" s="73"/>
    </x:row>
    <x:row r="138" ht="15" hidden="0" customHeight="1">
      <x:c r="C138" s="183"/>
      <x:c r="D138" s="73"/>
      <x:c r="E138" s="73"/>
      <x:c r="F138" s="73"/>
      <x:c r="G138" s="73"/>
      <x:c r="H138" s="73"/>
      <x:c r="I138" s="73"/>
    </x:row>
    <x:row r="139" ht="15" hidden="0" customHeight="1">
      <x:c r="C139" s="183"/>
      <x:c r="D139" s="73"/>
      <x:c r="E139" s="73"/>
      <x:c r="F139" s="73"/>
      <x:c r="G139" s="73"/>
      <x:c r="H139" s="73"/>
      <x:c r="I139" s="73"/>
    </x:row>
    <x:row r="140" ht="15" hidden="0" customHeight="1">
      <x:c r="C140" s="187" t="str">
        <x:v>balance sheet</x:v>
      </x:c>
      <x:c r="D140" s="124"/>
      <x:c r="E140" s="124"/>
      <x:c r="F140" s="124"/>
      <x:c r="G140" s="73"/>
      <x:c r="H140" s="73"/>
      <x:c r="I140" s="73"/>
    </x:row>
    <x:row r="141" ht="15" hidden="0" customHeight="1">
      <x:c r="C141" s="188" t="str">
        <x:v>Current assets: Cash and cash equivalents</x:v>
      </x:c>
      <x:c r="D141" s="95" t="n">
        <x:v>750.981</x:v>
      </x:c>
      <x:c r="E141" s="95" t="n">
        <x:v>1526.046</x:v>
      </x:c>
      <x:c r="F141" s="94" t="str">
        <x:v>n.a.</x:v>
      </x:c>
      <x:c r="G141" s="73"/>
      <x:c r="H141" s="73"/>
      <x:c r="I141" s="73"/>
    </x:row>
    <x:row r="142" ht="40" hidden="0" customHeight="1">
      <x:c r="C142" s="188" t="str">
        <x:v>Current assets: Cash and cash equivalents segregated for corporate-held stablecoins</x:v>
      </x:c>
      <x:c r="D142" s="95" t="n">
        <x:v>294.493</x:v>
      </x:c>
      <x:c r="E142" s="95" t="n">
        <x:v>822.963</x:v>
      </x:c>
      <x:c r="F142" s="94" t="str">
        <x:v>n.a.</x:v>
      </x:c>
      <x:c r="G142" s="73"/>
      <x:c r="H142" s="73"/>
      <x:c r="I142" s="73"/>
    </x:row>
    <x:row r="143" ht="40" hidden="0" customHeight="1">
      <x:c r="C143" s="188" t="str">
        <x:v>Current assets: Cash and cash equivalents segregated for the benefit of stablecoin holders</x:v>
      </x:c>
      <x:c r="D143" s="95" t="n">
        <x:v>43918.572</x:v>
      </x:c>
      <x:c r="E143" s="95" t="n">
        <x:v>75067.932</x:v>
      </x:c>
      <x:c r="F143" s="94" t="str">
        <x:v>n.a.</x:v>
      </x:c>
      <x:c r="G143" s="73"/>
      <x:c r="H143" s="73"/>
      <x:c r="I143" s="73"/>
    </x:row>
    <x:row r="144" ht="15" hidden="0" customHeight="1">
      <x:c r="C144" s="188" t="str">
        <x:v>Current assets: Accounts receivable, net</x:v>
      </x:c>
      <x:c r="D144" s="95" t="n">
        <x:v>6.418</x:v>
      </x:c>
      <x:c r="E144" s="95" t="n">
        <x:v>62.866</x:v>
      </x:c>
      <x:c r="F144" s="94" t="str">
        <x:v>n.a.</x:v>
      </x:c>
      <x:c r="G144" s="73"/>
      <x:c r="H144" s="73"/>
      <x:c r="I144" s="73"/>
    </x:row>
    <x:row r="145" ht="15" hidden="0" customHeight="1">
      <x:c r="C145" s="188" t="str">
        <x:v>Stablecoins receivable, net</x:v>
      </x:c>
      <x:c r="D145" s="95" t="n">
        <x:v>6.957</x:v>
      </x:c>
      <x:c r="E145" s="95" t="n">
        <x:v>0</x:v>
      </x:c>
      <x:c r="F145" s="94" t="str">
        <x:v>n.a.</x:v>
      </x:c>
      <x:c r="G145" s="73"/>
      <x:c r="H145" s="73"/>
      <x:c r="I145" s="73"/>
    </x:row>
    <x:row r="146" ht="15" hidden="0" customHeight="1">
      <x:c r="C146" s="188" t="str">
        <x:v>Current assets: Prepaid expenses and other current assets</x:v>
      </x:c>
      <x:c r="D146" s="95" t="n">
        <x:v>187.528</x:v>
      </x:c>
      <x:c r="E146" s="95" t="n">
        <x:v>321.66</x:v>
      </x:c>
      <x:c r="F146" s="94" t="str">
        <x:v>n.a.</x:v>
      </x:c>
      <x:c r="G146" s="73"/>
      <x:c r="H146" s="73"/>
      <x:c r="I146" s="73"/>
    </x:row>
    <x:row r="147" ht="15" hidden="0" customHeight="1">
      <x:c r="C147" s="188" t="str">
        <x:v>Current assets: Total current assets</x:v>
      </x:c>
      <x:c r="D147" s="95" t="n">
        <x:v>45164.949</x:v>
      </x:c>
      <x:c r="E147" s="95" t="n">
        <x:v>77801.467</x:v>
      </x:c>
      <x:c r="F147" s="94" t="str">
        <x:v>n.a.</x:v>
      </x:c>
      <x:c r="G147" s="73"/>
      <x:c r="H147" s="73"/>
      <x:c r="I147" s="73"/>
    </x:row>
    <x:row r="148" ht="15" hidden="0" customHeight="1">
      <x:c r="C148" s="188" t="str">
        <x:v>Non-current assets: Restricted cash</x:v>
      </x:c>
      <x:c r="D148" s="95" t="n">
        <x:v>3.558</x:v>
      </x:c>
      <x:c r="E148" s="95" t="n">
        <x:v>2.792</x:v>
      </x:c>
      <x:c r="F148" s="94" t="str">
        <x:v>n.a.</x:v>
      </x:c>
      <x:c r="G148" s="73"/>
      <x:c r="H148" s="73"/>
      <x:c r="I148" s="73"/>
    </x:row>
    <x:row r="149" ht="15" hidden="0" customHeight="1">
      <x:c r="C149" s="188" t="str">
        <x:v>Non-current assets: Investments</x:v>
      </x:c>
      <x:c r="D149" s="95" t="n">
        <x:v>84.114</x:v>
      </x:c>
      <x:c r="E149" s="95" t="n">
        <x:v>84.265</x:v>
      </x:c>
      <x:c r="F149" s="94" t="str">
        <x:v>n.a.</x:v>
      </x:c>
      <x:c r="G149" s="73"/>
      <x:c r="H149" s="73"/>
      <x:c r="I149" s="73"/>
    </x:row>
    <x:row r="150" ht="15" hidden="0" customHeight="1">
      <x:c r="C150" s="188" t="str">
        <x:v>Non-current assets: Fixed assets, net</x:v>
      </x:c>
      <x:c r="D150" s="95" t="n">
        <x:v>18.682</x:v>
      </x:c>
      <x:c r="E150" s="95" t="n">
        <x:v>22.791</x:v>
      </x:c>
      <x:c r="F150" s="94" t="str">
        <x:v>n.a.</x:v>
      </x:c>
      <x:c r="G150" s="73"/>
      <x:c r="H150" s="73"/>
      <x:c r="I150" s="73"/>
    </x:row>
    <x:row r="151" ht="15" hidden="0" customHeight="1">
      <x:c r="C151" s="188" t="str">
        <x:v>Non-current assets: Digital assets</x:v>
      </x:c>
      <x:c r="D151" s="95" t="n">
        <x:v>31.33</x:v>
      </x:c>
      <x:c r="E151" s="95" t="n">
        <x:v>86.515</x:v>
      </x:c>
      <x:c r="F151" s="94" t="str">
        <x:v>n.a.</x:v>
      </x:c>
      <x:c r="G151" s="73"/>
      <x:c r="H151" s="73"/>
      <x:c r="I151" s="73"/>
    </x:row>
    <x:row r="152" ht="15" hidden="0" customHeight="1">
      <x:c r="C152" s="188" t="str">
        <x:v>Non-current assets: Goodwill</x:v>
      </x:c>
      <x:c r="D152" s="95" t="n">
        <x:v>169.544</x:v>
      </x:c>
      <x:c r="E152" s="95" t="n">
        <x:v>265.742</x:v>
      </x:c>
      <x:c r="F152" s="94" t="str">
        <x:v>n.a.</x:v>
      </x:c>
      <x:c r="G152" s="73"/>
      <x:c r="H152" s="73"/>
      <x:c r="I152" s="73"/>
    </x:row>
    <x:row r="153" ht="15" hidden="0" customHeight="1">
      <x:c r="C153" s="188" t="str">
        <x:v>Non-current assets: Intangible assets, net</x:v>
      </x:c>
      <x:c r="D153" s="95" t="n">
        <x:v>331.394</x:v>
      </x:c>
      <x:c r="E153" s="95" t="n">
        <x:v>411.146</x:v>
      </x:c>
      <x:c r="F153" s="94" t="str">
        <x:v>n.a.</x:v>
      </x:c>
      <x:c r="G153" s="73"/>
      <x:c r="H153" s="73"/>
      <x:c r="I153" s="73"/>
    </x:row>
    <x:row r="154" ht="15" hidden="0" customHeight="1">
      <x:c r="C154" s="188" t="str">
        <x:v>Non-current assets: Deferred tax assets, net</x:v>
      </x:c>
      <x:c r="D154" s="95" t="n">
        <x:v>10.223</x:v>
      </x:c>
      <x:c r="E154" s="95" t="n">
        <x:v>11.11</x:v>
      </x:c>
      <x:c r="F154" s="94" t="str">
        <x:v>n.a.</x:v>
      </x:c>
      <x:c r="G154" s="73"/>
      <x:c r="H154" s="73"/>
      <x:c r="I154" s="73"/>
    </x:row>
    <x:row r="155" ht="15" hidden="0" customHeight="1">
      <x:c r="C155" s="188" t="str">
        <x:v>Non-current assets: Other non-current assets</x:v>
      </x:c>
      <x:c r="D155" s="95" t="n">
        <x:v>20.615</x:v>
      </x:c>
      <x:c r="E155" s="95" t="n">
        <x:v>27.379</x:v>
      </x:c>
      <x:c r="F155" s="94" t="str">
        <x:v>n.a.</x:v>
      </x:c>
      <x:c r="G155" s="73"/>
      <x:c r="H155" s="73"/>
      <x:c r="I155" s="73"/>
    </x:row>
    <x:row r="156" ht="15" hidden="0" customHeight="1">
      <x:c r="C156" s="188" t="str">
        <x:v>Non-current assets: Total assets</x:v>
      </x:c>
      <x:c r="D156" s="95" t="n">
        <x:v>45834.409</x:v>
      </x:c>
      <x:c r="E156" s="95" t="n">
        <x:v>78713.207</x:v>
      </x:c>
      <x:c r="F156" s="94" t="str">
        <x:v>n.a.</x:v>
      </x:c>
      <x:c r="G156" s="73"/>
      <x:c r="H156" s="73"/>
      <x:c r="I156" s="73"/>
    </x:row>
    <x:row r="157" ht="15" hidden="0" customHeight="1">
      <x:c r="C157" s="188" t="str">
        <x:v>Current liabilities: Deposits from stablecoin holders</x:v>
      </x:c>
      <x:c r="D157" s="95" t="n">
        <x:v>43727.363</x:v>
      </x:c>
      <x:c r="E157" s="95" t="n">
        <x:v>74912.567</x:v>
      </x:c>
      <x:c r="F157" s="94" t="str">
        <x:v>n.a.</x:v>
      </x:c>
      <x:c r="G157" s="73"/>
      <x:c r="H157" s="73"/>
      <x:c r="I157" s="73"/>
    </x:row>
    <x:row r="158" ht="15" hidden="0" customHeight="1">
      <x:c r="C158" s="188" t="str">
        <x:v>Current liabilities: Accounts payable and accrued expenses</x:v>
      </x:c>
      <x:c r="D158" s="95" t="n">
        <x:v>287.007</x:v>
      </x:c>
      <x:c r="E158" s="95" t="n">
        <x:v>360.609</x:v>
      </x:c>
      <x:c r="F158" s="94" t="str">
        <x:v>n.a.</x:v>
      </x:c>
      <x:c r="G158" s="73"/>
      <x:c r="H158" s="73"/>
      <x:c r="I158" s="73"/>
    </x:row>
    <x:row r="159" ht="15" hidden="0" customHeight="1">
      <x:c r="C159" s="188" t="str">
        <x:v>Current liabilities: Convertible debt, net of debt discount</x:v>
      </x:c>
      <x:c r="D159" s="95" t="n">
        <x:v>0</x:v>
      </x:c>
      <x:c r="E159" s="95" t="n">
        <x:v>36.821</x:v>
      </x:c>
      <x:c r="F159" s="94" t="str">
        <x:v>n.a.</x:v>
      </x:c>
      <x:c r="G159" s="73"/>
      <x:c r="H159" s="73"/>
      <x:c r="I159" s="73"/>
    </x:row>
    <x:row r="160" ht="15" hidden="0" customHeight="1">
      <x:c r="C160" s="188" t="str">
        <x:v>Current liabilities: Other current liabilities</x:v>
      </x:c>
      <x:c r="D160" s="95" t="n">
        <x:v>16.597</x:v>
      </x:c>
      <x:c r="E160" s="95" t="n">
        <x:v>18.398</x:v>
      </x:c>
      <x:c r="F160" s="94" t="str">
        <x:v>n.a.</x:v>
      </x:c>
      <x:c r="G160" s="73"/>
      <x:c r="H160" s="73"/>
      <x:c r="I160" s="73"/>
    </x:row>
    <x:row r="161" ht="15" hidden="0" customHeight="1">
      <x:c r="C161" s="184" t="str">
        <x:v>Current liabilities: Total current liabilities</x:v>
      </x:c>
      <x:c r="D161" s="189" t="n">
        <x:v>44030.967</x:v>
      </x:c>
      <x:c r="E161" s="189" t="n">
        <x:v>75328.395</x:v>
      </x:c>
      <x:c r="F161" s="66" t="str">
        <x:v>n.a.</x:v>
      </x:c>
      <x:c r="G161" s="66"/>
      <x:c r="H161" s="66"/>
      <x:c r="I161" s="66"/>
    </x:row>
    <x:row r="162" ht="15" hidden="0" customHeight="1">
      <x:c r="C162" s="184" t="str">
        <x:v>Non-current liabilities: Convertible debt, net of debt discount</x:v>
      </x:c>
      <x:c r="D162" s="189" t="n">
        <x:v>40.717</x:v>
      </x:c>
      <x:c r="E162" s="189" t="n">
        <x:v>0</x:v>
      </x:c>
      <x:c r="F162" s="66" t="str">
        <x:v>n.a.</x:v>
      </x:c>
      <x:c r="G162" s="66"/>
      <x:c r="H162" s="66"/>
      <x:c r="I162" s="66"/>
    </x:row>
    <x:row r="163" ht="15" hidden="0" customHeight="1">
      <x:c r="C163" s="184" t="str">
        <x:v>Non-current liabilities: Deferred tax liabilities, net</x:v>
      </x:c>
      <x:c r="D163" s="189" t="n">
        <x:v>29.559</x:v>
      </x:c>
      <x:c r="E163" s="189" t="n">
        <x:v>28.702</x:v>
      </x:c>
      <x:c r="F163" s="66" t="str">
        <x:v>n.a.</x:v>
      </x:c>
      <x:c r="G163" s="66"/>
      <x:c r="H163" s="66"/>
      <x:c r="I163" s="66"/>
    </x:row>
    <x:row r="164" ht="15" hidden="0" customHeight="1">
      <x:c r="C164" s="184" t="str">
        <x:v>Warrant liability</x:v>
      </x:c>
      <x:c r="D164" s="189" t="n">
        <x:v>1.591</x:v>
      </x:c>
      <x:c r="E164" s="189" t="n">
        <x:v>0</x:v>
      </x:c>
      <x:c r="F164" s="66" t="str">
        <x:v>n.a.</x:v>
      </x:c>
      <x:c r="G164" s="66"/>
      <x:c r="H164" s="66"/>
      <x:c r="I164" s="66"/>
    </x:row>
    <x:row r="165" ht="15" hidden="0" customHeight="1">
      <x:c r="C165" s="184" t="str">
        <x:v>Non-current liabilities: Other non-current liabilities</x:v>
      </x:c>
      <x:c r="D165" s="189" t="n">
        <x:v>21.281</x:v>
      </x:c>
      <x:c r="E165" s="189" t="n">
        <x:v>25.337</x:v>
      </x:c>
      <x:c r="F165" s="66" t="str">
        <x:v>n.a.</x:v>
      </x:c>
      <x:c r="G165" s="66"/>
      <x:c r="H165" s="66"/>
      <x:c r="I165" s="66"/>
    </x:row>
    <x:row r="166" ht="15" hidden="0" customHeight="1">
      <x:c r="C166" s="184" t="str">
        <x:v>Total non-current liabilities</x:v>
      </x:c>
      <x:c r="D166" s="189" t="n">
        <x:v>93.148</x:v>
      </x:c>
      <x:c r="E166" s="189" t="n">
        <x:v>54.039</x:v>
      </x:c>
      <x:c r="F166" s="66" t="str">
        <x:v>n.a.</x:v>
      </x:c>
      <x:c r="G166" s="66"/>
      <x:c r="H166" s="66"/>
      <x:c r="I166" s="66"/>
    </x:row>
    <x:row r="167" ht="15" hidden="0" customHeight="1">
      <x:c r="C167" s="184" t="str">
        <x:v>Non-current liabilities: Total liabilities</x:v>
      </x:c>
      <x:c r="D167" s="189" t="n">
        <x:v>44124.115</x:v>
      </x:c>
      <x:c r="E167" s="189" t="n">
        <x:v>75382.434</x:v>
      </x:c>
      <x:c r="F167" s="66" t="str">
        <x:v>n.a.</x:v>
      </x:c>
      <x:c r="G167" s="66"/>
      <x:c r="H167" s="66"/>
      <x:c r="I167" s="66"/>
    </x:row>
    <x:row r="168" ht="40" hidden="0" customHeight="1">
      <x:c r="C168" s="184" t="str">
        <x:v>Redeemable convertible preferred stock ($0.0001 par value, nil and 139.8 million shares issued and outstanding as of December 31, 2025 and December 31, 2024, respectively; aggregate liquidation preference of nil and $1.1B as of December 31, 2025 and December 31, 2024, respectively)</x:v>
      </x:c>
      <x:c r="D168" s="189" t="n">
        <x:v>1139.765</x:v>
      </x:c>
      <x:c r="E168" s="189" t="n">
        <x:v>0</x:v>
      </x:c>
      <x:c r="F168" s="66" t="str">
        <x:v>n.a.</x:v>
      </x:c>
      <x:c r="G168" s="66"/>
      <x:c r="H168" s="66"/>
      <x:c r="I168" s="66"/>
    </x:row>
    <x:row r="169" ht="15" hidden="0" customHeight="1">
      <x:c r="C169" s="184" t="str">
        <x:v>Class A common stock</x:v>
      </x:c>
      <x:c r="D169" s="189" t="n">
        <x:v>0.006</x:v>
      </x:c>
      <x:c r="E169" s="189" t="n">
        <x:v>0.024</x:v>
      </x:c>
      <x:c r="F169" s="66" t="str">
        <x:v>n.a.</x:v>
      </x:c>
      <x:c r="G169" s="66"/>
      <x:c r="H169" s="66"/>
      <x:c r="I169" s="66"/>
    </x:row>
    <x:row r="170" ht="40" hidden="0" customHeight="1">
      <x:c r="C170" s="184" t="str">
        <x:v>Class B common stock ($0.0001 par value; 500.0 million and nil authorized as of December 31, 2025 and December 31, 2024, respectively; 18.7 million and nil issued and outstanding as of December 31, 2025 and December 31, 2024, respectively)</x:v>
      </x:c>
      <x:c r="D170" s="189" t="n">
        <x:v>0</x:v>
      </x:c>
      <x:c r="E170" s="189" t="n">
        <x:v>0.002</x:v>
      </x:c>
      <x:c r="F170" s="66" t="str">
        <x:v>n.a.</x:v>
      </x:c>
      <x:c r="G170" s="66"/>
      <x:c r="H170" s="66"/>
      <x:c r="I170" s="66"/>
    </x:row>
    <x:row r="171" ht="40" hidden="0" customHeight="1">
      <x:c r="C171" s="184" t="str">
        <x:v>Class C common stock ($0.0001 par value; 500.0 million and nil authorized as of December 31, 2025 and December 31, 2024, respectively; nil issued and outstanding as of December 31, 2025 and December 31, 2024)</x:v>
      </x:c>
      <x:c r="D171" s="189" t="n">
        <x:v>0</x:v>
      </x:c>
      <x:c r="E171" s="189" t="n">
        <x:v>0</x:v>
      </x:c>
      <x:c r="F171" s="66" t="str">
        <x:v>n.a.</x:v>
      </x:c>
      <x:c r="G171" s="66"/>
      <x:c r="H171" s="66"/>
      <x:c r="I171" s="66"/>
    </x:row>
    <x:row r="172" ht="40" hidden="0" customHeight="1">
      <x:c r="C172" s="184" t="str">
        <x:v>Treasury stock at cost (4.7 million and 5.0 million shares held as of December 31, 2025 and December 31, 2024, respectively)</x:v>
      </x:c>
      <x:c r="D172" s="189" t="n">
        <x:v>-2.877</x:v>
      </x:c>
      <x:c r="E172" s="189" t="n">
        <x:v>-2.721</x:v>
      </x:c>
      <x:c r="F172" s="66" t="str">
        <x:v>n.a.</x:v>
      </x:c>
      <x:c r="G172" s="66"/>
      <x:c r="H172" s="66"/>
      <x:c r="I172" s="66"/>
    </x:row>
    <x:row r="173" ht="15" hidden="0" customHeight="1">
      <x:c r="C173" s="184" t="str">
        <x:v>Additional paid-in capital</x:v>
      </x:c>
      <x:c r="D173" s="189" t="n">
        <x:v>1792.969</x:v>
      </x:c>
      <x:c r="E173" s="189" t="n">
        <x:v>4610.216</x:v>
      </x:c>
      <x:c r="F173" s="189" t="n">
        <x:v>4693.986</x:v>
      </x:c>
      <x:c r="G173" s="66"/>
      <x:c r="H173" s="66"/>
      <x:c r="I173" s="66"/>
    </x:row>
    <x:row r="174" ht="15" hidden="0" customHeight="1">
      <x:c r="C174" s="184" t="str">
        <x:v>Accumulated deficit</x:v>
      </x:c>
      <x:c r="D174" s="189" t="n">
        <x:v>-1223.213</x:v>
      </x:c>
      <x:c r="E174" s="189" t="n">
        <x:v>-1292.709</x:v>
      </x:c>
      <x:c r="F174" s="189" t="n">
        <x:v>-1189.235</x:v>
      </x:c>
      <x:c r="G174" s="66"/>
      <x:c r="H174" s="66"/>
      <x:c r="I174" s="66"/>
    </x:row>
    <x:row r="175" ht="15" hidden="0" customHeight="1">
      <x:c r="C175" s="184" t="str">
        <x:v>Accumulated other comprehensive income</x:v>
      </x:c>
      <x:c r="D175" s="189" t="n">
        <x:v>3.644</x:v>
      </x:c>
      <x:c r="E175" s="189" t="n">
        <x:v>14.515</x:v>
      </x:c>
      <x:c r="F175" s="189" t="n">
        <x:v>6.449</x:v>
      </x:c>
      <x:c r="G175" s="66"/>
      <x:c r="H175" s="66"/>
      <x:c r="I175" s="66"/>
    </x:row>
    <x:row r="176" ht="40" hidden="0" customHeight="1">
      <x:c r="C176" s="184" t="str">
        <x:v>Total stockholders' equity attributable to common stockholders</x:v>
      </x:c>
      <x:c r="D176" s="189" t="n">
        <x:v>570.529</x:v>
      </x:c>
      <x:c r="E176" s="189" t="n">
        <x:v>3329.327</x:v>
      </x:c>
      <x:c r="F176" s="189" t="n">
        <x:v>3508.582</x:v>
      </x:c>
      <x:c r="G176" s="66"/>
      <x:c r="H176" s="66"/>
      <x:c r="I176" s="66"/>
    </x:row>
    <x:row r="177" ht="15" hidden="0" customHeight="1">
      <x:c r="C177" s="184" t="str">
        <x:v>Noncontrolling interests</x:v>
      </x:c>
      <x:c r="D177" s="189" t="n">
        <x:v>0</x:v>
      </x:c>
      <x:c r="E177" s="189" t="n">
        <x:v>1.446</x:v>
      </x:c>
      <x:c r="F177" s="189" t="n">
        <x:v>1.393</x:v>
      </x:c>
      <x:c r="G177" s="66"/>
      <x:c r="H177" s="66"/>
      <x:c r="I177" s="66"/>
    </x:row>
    <x:row r="178" ht="15" hidden="0" customHeight="1">
      <x:c r="C178" s="184" t="str">
        <x:v>Total stockholders' equity</x:v>
      </x:c>
      <x:c r="D178" s="189" t="n">
        <x:v>570.529</x:v>
      </x:c>
      <x:c r="E178" s="189" t="n">
        <x:v>3330.773</x:v>
      </x:c>
      <x:c r="F178" s="189" t="n">
        <x:v>3509.975</x:v>
      </x:c>
      <x:c r="G178" s="66"/>
      <x:c r="H178" s="66"/>
      <x:c r="I178" s="66"/>
    </x:row>
    <x:row r="179" ht="40" hidden="0" customHeight="1">
      <x:c r="C179" s="184" t="str">
        <x:v>Total liabilities, redeemable convertible preferred stock and stockholders' equity</x:v>
      </x:c>
      <x:c r="D179" s="189" t="n">
        <x:v>45834.409</x:v>
      </x:c>
      <x:c r="E179" s="189" t="n">
        <x:v>78713.207</x:v>
      </x:c>
      <x:c r="F179" s="66" t="str">
        <x:v>n.a.</x:v>
      </x:c>
      <x:c r="G179" s="66"/>
      <x:c r="H179" s="66"/>
      <x:c r="I179" s="66"/>
    </x:row>
    <x:row r="180" ht="15" hidden="0" customHeight="1">
      <x:c r="C180" s="184" t="str">
        <x:v>Current assets:: Cash and cash equivalents</x:v>
      </x:c>
      <x:c r="D180" s="66" t="str">
        <x:v>n.a.</x:v>
      </x:c>
      <x:c r="E180" s="66" t="str">
        <x:v>n.a.</x:v>
      </x:c>
      <x:c r="F180" s="189" t="n">
        <x:v>1730.126</x:v>
      </x:c>
      <x:c r="G180" s="66"/>
      <x:c r="H180" s="66"/>
      <x:c r="I180" s="66"/>
    </x:row>
    <x:row r="181" ht="40" hidden="0" customHeight="1">
      <x:c r="C181" s="184" t="str">
        <x:v>Current assets:: Cash and cash equivalents segregated for corporate-held stablecoins</x:v>
      </x:c>
      <x:c r="D181" s="66" t="str">
        <x:v>n.a.</x:v>
      </x:c>
      <x:c r="E181" s="66" t="str">
        <x:v>n.a.</x:v>
      </x:c>
      <x:c r="F181" s="189" t="n">
        <x:v>889.311</x:v>
      </x:c>
      <x:c r="G181" s="66"/>
      <x:c r="H181" s="66"/>
      <x:c r="I181" s="66"/>
    </x:row>
    <x:row r="182" ht="40" hidden="0" customHeight="1">
      <x:c r="C182" s="184" t="str">
        <x:v>Current assets:: Cash and cash equivalents segregated for the benefit of stablecoin holders</x:v>
      </x:c>
      <x:c r="D182" s="66" t="str">
        <x:v>n.a.</x:v>
      </x:c>
      <x:c r="E182" s="66" t="str">
        <x:v>n.a.</x:v>
      </x:c>
      <x:c r="F182" s="189" t="n">
        <x:v>73161.172</x:v>
      </x:c>
      <x:c r="G182" s="66"/>
      <x:c r="H182" s="66"/>
      <x:c r="I182" s="66"/>
    </x:row>
    <x:row r="183" ht="15" hidden="0" customHeight="1">
      <x:c r="C183" s="184" t="str">
        <x:v>Current assets:: Accounts receivable, net</x:v>
      </x:c>
      <x:c r="D183" s="66" t="str">
        <x:v>n.a.</x:v>
      </x:c>
      <x:c r="E183" s="66" t="str">
        <x:v>n.a.</x:v>
      </x:c>
      <x:c r="F183" s="189" t="n">
        <x:v>105.431</x:v>
      </x:c>
      <x:c r="G183" s="66"/>
      <x:c r="H183" s="66"/>
      <x:c r="I183" s="66"/>
    </x:row>
    <x:row r="184" ht="15" hidden="0" customHeight="1">
      <x:c r="C184" s="184" t="str">
        <x:v>Current assets:: Prepaid expenses and other current assets</x:v>
      </x:c>
      <x:c r="D184" s="66" t="str">
        <x:v>n.a.</x:v>
      </x:c>
      <x:c r="E184" s="66" t="str">
        <x:v>n.a.</x:v>
      </x:c>
      <x:c r="F184" s="189" t="n">
        <x:v>283.578</x:v>
      </x:c>
      <x:c r="G184" s="66"/>
      <x:c r="H184" s="66"/>
      <x:c r="I184" s="66"/>
    </x:row>
    <x:row r="185" ht="15" hidden="0" customHeight="1">
      <x:c r="C185" s="184" t="str">
        <x:v>Current assets:: Total current assets</x:v>
      </x:c>
      <x:c r="D185" s="66" t="str">
        <x:v>n.a.</x:v>
      </x:c>
      <x:c r="E185" s="66" t="str">
        <x:v>n.a.</x:v>
      </x:c>
      <x:c r="F185" s="189" t="n">
        <x:v>76169.618</x:v>
      </x:c>
      <x:c r="G185" s="66"/>
      <x:c r="H185" s="66"/>
      <x:c r="I185" s="66"/>
    </x:row>
    <x:row r="186" ht="15" hidden="0" customHeight="1">
      <x:c r="C186" s="184" t="str">
        <x:v>Non-current assets:: Restricted cash</x:v>
      </x:c>
      <x:c r="D186" s="66" t="str">
        <x:v>n.a.</x:v>
      </x:c>
      <x:c r="E186" s="66" t="str">
        <x:v>n.a.</x:v>
      </x:c>
      <x:c r="F186" s="189" t="n">
        <x:v>12.806</x:v>
      </x:c>
      <x:c r="G186" s="66"/>
      <x:c r="H186" s="66"/>
      <x:c r="I186" s="66"/>
    </x:row>
    <x:row r="187" ht="15" hidden="0" customHeight="1">
      <x:c r="C187" s="184" t="str">
        <x:v>Non-current assets:: Investments</x:v>
      </x:c>
      <x:c r="D187" s="66" t="str">
        <x:v>n.a.</x:v>
      </x:c>
      <x:c r="E187" s="66" t="str">
        <x:v>n.a.</x:v>
      </x:c>
      <x:c r="F187" s="189" t="n">
        <x:v>103.757</x:v>
      </x:c>
      <x:c r="G187" s="66"/>
      <x:c r="H187" s="66"/>
      <x:c r="I187" s="66"/>
    </x:row>
    <x:row r="188" ht="15" hidden="0" customHeight="1">
      <x:c r="C188" s="184" t="str">
        <x:v>Non-current assets:: Fixed assets, net</x:v>
      </x:c>
      <x:c r="D188" s="66" t="str">
        <x:v>n.a.</x:v>
      </x:c>
      <x:c r="E188" s="66" t="str">
        <x:v>n.a.</x:v>
      </x:c>
      <x:c r="F188" s="189" t="n">
        <x:v>22.177</x:v>
      </x:c>
      <x:c r="G188" s="66"/>
      <x:c r="H188" s="66"/>
      <x:c r="I188" s="66"/>
    </x:row>
    <x:row r="189" ht="15" hidden="0" customHeight="1">
      <x:c r="C189" s="184" t="str">
        <x:v>Non-current assets:: Digital assets</x:v>
      </x:c>
      <x:c r="D189" s="66" t="str">
        <x:v>n.a.</x:v>
      </x:c>
      <x:c r="E189" s="66" t="str">
        <x:v>n.a.</x:v>
      </x:c>
      <x:c r="F189" s="189" t="n">
        <x:v>106.539</x:v>
      </x:c>
      <x:c r="G189" s="66"/>
      <x:c r="H189" s="66"/>
      <x:c r="I189" s="66"/>
    </x:row>
    <x:row r="190" ht="15" hidden="0" customHeight="1">
      <x:c r="C190" s="184" t="str">
        <x:v>Non-current assets:: Goodwill</x:v>
      </x:c>
      <x:c r="D190" s="66" t="str">
        <x:v>n.a.</x:v>
      </x:c>
      <x:c r="E190" s="66" t="str">
        <x:v>n.a.</x:v>
      </x:c>
      <x:c r="F190" s="189" t="n">
        <x:v>265.742</x:v>
      </x:c>
      <x:c r="G190" s="66"/>
      <x:c r="H190" s="66"/>
      <x:c r="I190" s="66"/>
    </x:row>
    <x:row r="191" ht="15" hidden="0" customHeight="1">
      <x:c r="C191" s="184" t="str">
        <x:v>Non-current assets:: Intangible assets, net</x:v>
      </x:c>
      <x:c r="D191" s="66" t="str">
        <x:v>n.a.</x:v>
      </x:c>
      <x:c r="E191" s="66" t="str">
        <x:v>n.a.</x:v>
      </x:c>
      <x:c r="F191" s="189" t="n">
        <x:v>446.577</x:v>
      </x:c>
      <x:c r="G191" s="66"/>
      <x:c r="H191" s="66"/>
      <x:c r="I191" s="66"/>
    </x:row>
    <x:row r="192" ht="15" hidden="0" customHeight="1">
      <x:c r="C192" s="184" t="str">
        <x:v>Non-current assets:: Deferred tax assets, net</x:v>
      </x:c>
      <x:c r="D192" s="66" t="str">
        <x:v>n.a.</x:v>
      </x:c>
      <x:c r="E192" s="66" t="str">
        <x:v>n.a.</x:v>
      </x:c>
      <x:c r="F192" s="189" t="n">
        <x:v>11.354</x:v>
      </x:c>
      <x:c r="G192" s="66"/>
      <x:c r="H192" s="66"/>
      <x:c r="I192" s="66"/>
    </x:row>
    <x:row r="193" ht="15" hidden="0" customHeight="1">
      <x:c r="C193" s="184" t="str">
        <x:v>Non-current assets:: Other non-current assets</x:v>
      </x:c>
      <x:c r="D193" s="66" t="str">
        <x:v>n.a.</x:v>
      </x:c>
      <x:c r="E193" s="66" t="str">
        <x:v>n.a.</x:v>
      </x:c>
      <x:c r="F193" s="189" t="n">
        <x:v>26.89</x:v>
      </x:c>
      <x:c r="G193" s="66"/>
      <x:c r="H193" s="66"/>
      <x:c r="I193" s="66"/>
    </x:row>
    <x:row r="194" ht="15" hidden="0" customHeight="1">
      <x:c r="C194" s="184" t="str">
        <x:v>Non-current assets:: Total assets</x:v>
      </x:c>
      <x:c r="D194" s="66" t="str">
        <x:v>n.a.</x:v>
      </x:c>
      <x:c r="E194" s="66" t="str">
        <x:v>n.a.</x:v>
      </x:c>
      <x:c r="F194" s="189" t="n">
        <x:v>77165.46</x:v>
      </x:c>
      <x:c r="G194" s="66"/>
      <x:c r="H194" s="66"/>
      <x:c r="I194" s="66"/>
    </x:row>
    <x:row r="195" ht="15" hidden="0" customHeight="1">
      <x:c r="C195" s="184" t="str">
        <x:v>Current liabilities:: Deposits from stablecoin holders</x:v>
      </x:c>
      <x:c r="D195" s="66" t="str">
        <x:v>n.a.</x:v>
      </x:c>
      <x:c r="E195" s="66" t="str">
        <x:v>n.a.</x:v>
      </x:c>
      <x:c r="F195" s="189" t="n">
        <x:v>72927.544</x:v>
      </x:c>
      <x:c r="G195" s="66"/>
      <x:c r="H195" s="66"/>
      <x:c r="I195" s="66"/>
    </x:row>
    <x:row r="196" ht="15" hidden="0" customHeight="1">
      <x:c r="C196" s="184" t="str">
        <x:v>Current liabilities:: Accounts payable and accrued expenses</x:v>
      </x:c>
      <x:c r="D196" s="66" t="str">
        <x:v>n.a.</x:v>
      </x:c>
      <x:c r="E196" s="66" t="str">
        <x:v>n.a.</x:v>
      </x:c>
      <x:c r="F196" s="189" t="n">
        <x:v>418.588</x:v>
      </x:c>
      <x:c r="G196" s="66"/>
      <x:c r="H196" s="66"/>
      <x:c r="I196" s="66"/>
    </x:row>
    <x:row r="197" ht="15" hidden="0" customHeight="1">
      <x:c r="C197" s="184" t="str">
        <x:v>Current liabilities:: Convertible debt, net of debt discount</x:v>
      </x:c>
      <x:c r="D197" s="66" t="str">
        <x:v>n.a.</x:v>
      </x:c>
      <x:c r="E197" s="66" t="str">
        <x:v>n.a.</x:v>
      </x:c>
      <x:c r="F197" s="189" t="n">
        <x:v>0</x:v>
      </x:c>
      <x:c r="G197" s="66"/>
      <x:c r="H197" s="66"/>
      <x:c r="I197" s="66"/>
    </x:row>
    <x:row r="198" ht="15" hidden="0" customHeight="1">
      <x:c r="C198" s="184" t="str">
        <x:v>Current liabilities:: Other current liabilities</x:v>
      </x:c>
      <x:c r="D198" s="66" t="str">
        <x:v>n.a.</x:v>
      </x:c>
      <x:c r="E198" s="66" t="str">
        <x:v>n.a.</x:v>
      </x:c>
      <x:c r="F198" s="189" t="n">
        <x:v>256.021</x:v>
      </x:c>
      <x:c r="G198" s="66"/>
      <x:c r="H198" s="66"/>
      <x:c r="I198" s="66"/>
    </x:row>
    <x:row r="199" ht="15" hidden="0" customHeight="1">
      <x:c r="C199" s="184" t="str">
        <x:v>Current liabilities:: Total current liabilities</x:v>
      </x:c>
      <x:c r="D199" s="66" t="str">
        <x:v>n.a.</x:v>
      </x:c>
      <x:c r="E199" s="66" t="str">
        <x:v>n.a.</x:v>
      </x:c>
      <x:c r="F199" s="189" t="n">
        <x:v>73602.153</x:v>
      </x:c>
      <x:c r="G199" s="66"/>
      <x:c r="H199" s="66"/>
      <x:c r="I199" s="66"/>
    </x:row>
    <x:row r="200" ht="15" hidden="0" customHeight="1">
      <x:c r="C200" s="184" t="str">
        <x:v>Non-current liabilities:: Deferred tax liabilities, net</x:v>
      </x:c>
      <x:c r="D200" s="66" t="str">
        <x:v>n.a.</x:v>
      </x:c>
      <x:c r="E200" s="66" t="str">
        <x:v>n.a.</x:v>
      </x:c>
      <x:c r="F200" s="189" t="n">
        <x:v>28.495</x:v>
      </x:c>
      <x:c r="G200" s="66"/>
      <x:c r="H200" s="66"/>
      <x:c r="I200" s="66"/>
    </x:row>
    <x:row r="201" ht="15" hidden="0" customHeight="1">
      <x:c r="C201" s="184" t="str">
        <x:v>Non-current liabilities:: Other non-current liabilities</x:v>
      </x:c>
      <x:c r="D201" s="66" t="str">
        <x:v>n.a.</x:v>
      </x:c>
      <x:c r="E201" s="66" t="str">
        <x:v>n.a.</x:v>
      </x:c>
      <x:c r="F201" s="189" t="n">
        <x:v>24.837</x:v>
      </x:c>
      <x:c r="G201" s="66"/>
      <x:c r="H201" s="66"/>
      <x:c r="I201" s="66"/>
    </x:row>
    <x:row r="202" ht="15" hidden="0" customHeight="1">
      <x:c r="C202" s="184" t="str">
        <x:v>Non-current liabilities:: Total liabilities</x:v>
      </x:c>
      <x:c r="D202" s="66" t="str">
        <x:v>n.a.</x:v>
      </x:c>
      <x:c r="E202" s="66" t="str">
        <x:v>n.a.</x:v>
      </x:c>
      <x:c r="F202" s="189" t="n">
        <x:v>73655.485</x:v>
      </x:c>
      <x:c r="G202" s="66"/>
      <x:c r="H202" s="66"/>
      <x:c r="I202" s="66"/>
    </x:row>
    <x:row r="203" ht="40" hidden="0" customHeight="1">
      <x:c r="C203" s="184" t="str">
        <x:v>Treasury stock at cost (4.6 million and 4.7 million shares held as of June 30, 2026 and December 31, 2025, respectively)</x:v>
      </x:c>
      <x:c r="D203" s="66" t="str">
        <x:v>n.a.</x:v>
      </x:c>
      <x:c r="E203" s="66" t="str">
        <x:v>n.a.</x:v>
      </x:c>
      <x:c r="F203" s="189" t="n">
        <x:v>-2.645</x:v>
      </x:c>
      <x:c r="G203" s="66"/>
      <x:c r="H203" s="66"/>
      <x:c r="I203" s="66"/>
    </x:row>
    <x:row r="204" ht="15" hidden="0" customHeight="1">
      <x:c r="C204" s="184" t="str">
        <x:v>Total liabilities and stockholders' equity</x:v>
      </x:c>
      <x:c r="D204" s="66" t="str">
        <x:v>n.a.</x:v>
      </x:c>
      <x:c r="E204" s="66" t="str">
        <x:v>n.a.</x:v>
      </x:c>
      <x:c r="F204" s="189" t="n">
        <x:v>77165.46</x:v>
      </x:c>
      <x:c r="G204" s="66"/>
      <x:c r="H204" s="66"/>
      <x:c r="I204" s="66"/>
    </x:row>
    <x:row r="205" ht="40" hidden="0" customHeight="1">
      <x:c r="C205" s="184" t="str">
        <x:v>Stockholders' equity / Class A common stock: Common stock, value, issued</x:v>
      </x:c>
      <x:c r="D205" s="66" t="str">
        <x:v>n.a.</x:v>
      </x:c>
      <x:c r="E205" s="66" t="str">
        <x:v>n.a.</x:v>
      </x:c>
      <x:c r="F205" s="189" t="n">
        <x:v>0.025</x:v>
      </x:c>
      <x:c r="G205" s="66"/>
      <x:c r="H205" s="66"/>
      <x:c r="I205" s="66"/>
    </x:row>
    <x:row r="206" ht="40" hidden="0" customHeight="1">
      <x:c r="C206" s="184" t="str">
        <x:v>Stockholders' equity / Class B common stock: Common stock, value, issued</x:v>
      </x:c>
      <x:c r="D206" s="66" t="str">
        <x:v>n.a.</x:v>
      </x:c>
      <x:c r="E206" s="66" t="str">
        <x:v>n.a.</x:v>
      </x:c>
      <x:c r="F206" s="189" t="n">
        <x:v>0.002</x:v>
      </x:c>
      <x:c r="G206" s="66"/>
      <x:c r="H206" s="66"/>
      <x:c r="I206" s="66"/>
    </x:row>
    <x:row r="207" ht="15" hidden="0" customHeight="1">
      <x:c r="C207" s="184" t="str">
        <x:v>Stockholders' equity / Common Class C: Common stock, value, issued</x:v>
      </x:c>
      <x:c r="D207" s="66" t="str">
        <x:v>n.a.</x:v>
      </x:c>
      <x:c r="E207" s="66" t="str">
        <x:v>n.a.</x:v>
      </x:c>
      <x:c r="F207" s="189" t="n">
        <x:v>0</x:v>
      </x:c>
      <x:c r="G207" s="66"/>
      <x:c r="H207" s="66"/>
      <x:c r="I207" s="66"/>
    </x:row>
    <x:row r="208" ht="15" hidden="0" customHeight="1">
      <x:c r="C208" s="184"/>
      <x:c r="D208" s="66"/>
      <x:c r="E208" s="66"/>
      <x:c r="F208" s="66"/>
      <x:c r="G208" s="66"/>
      <x:c r="H208" s="66"/>
      <x:c r="I208" s="66"/>
    </x:row>
    <x:row r="209" ht="15" hidden="0" customHeight="1">
      <x:c r="C209" s="184"/>
      <x:c r="D209" s="66"/>
      <x:c r="E209" s="66"/>
      <x:c r="F209" s="66"/>
      <x:c r="G209" s="66"/>
      <x:c r="H209" s="66"/>
      <x:c r="I209" s="66"/>
    </x:row>
    <x:row r="210" ht="15" hidden="0" customHeight="1">
      <x:c r="C210" s="190" t="str">
        <x:v>revenue detail</x:v>
      </x:c>
      <x:c r="D210" s="191"/>
      <x:c r="E210" s="191"/>
      <x:c r="F210" s="191"/>
      <x:c r="G210" s="66"/>
      <x:c r="H210" s="66"/>
      <x:c r="I210" s="66"/>
    </x:row>
    <x:row r="211" ht="15" hidden="0" customHeight="1">
      <x:c r="C211" s="184" t="str">
        <x:v>Reserve income</x:v>
      </x:c>
      <x:c r="D211" s="189" t="n">
        <x:v>1661.084</x:v>
      </x:c>
      <x:c r="E211" s="189" t="n">
        <x:v>2636.822</x:v>
      </x:c>
      <x:c r="F211" s="189" t="n">
        <x:v>1320.241</x:v>
      </x:c>
      <x:c r="G211" s="66"/>
      <x:c r="H211" s="66"/>
      <x:c r="I211" s="66"/>
    </x:row>
    <x:row r="212" ht="15" hidden="0" customHeight="1">
      <x:c r="C212" s="184" t="str">
        <x:v>Subscription and services</x:v>
      </x:c>
      <x:c r="D212" s="189" t="n">
        <x:v>6.054</x:v>
      </x:c>
      <x:c r="E212" s="189" t="n">
        <x:v>84.783</x:v>
      </x:c>
      <x:c r="F212" s="189" t="n">
        <x:v>63.017</x:v>
      </x:c>
      <x:c r="G212" s="66"/>
      <x:c r="H212" s="66"/>
      <x:c r="I212" s="66"/>
    </x:row>
    <x:row r="213" ht="15" hidden="0" customHeight="1">
      <x:c r="C213" s="184" t="str">
        <x:v>Transaction revenue</x:v>
      </x:c>
      <x:c r="D213" s="189" t="n">
        <x:v>2.852</x:v>
      </x:c>
      <x:c r="E213" s="189" t="n">
        <x:v>24.335</x:v>
      </x:c>
      <x:c r="F213" s="189" t="n">
        <x:v>12.06</x:v>
      </x:c>
      <x:c r="G213" s="66"/>
      <x:c r="H213" s="66"/>
      <x:c r="I213" s="66"/>
    </x:row>
    <x:row r="214" ht="15" hidden="0" customHeight="1">
      <x:c r="C214" s="184" t="str">
        <x:v>Other</x:v>
      </x:c>
      <x:c r="D214" s="189" t="n">
        <x:v>6.263</x:v>
      </x:c>
      <x:c r="E214" s="189" t="n">
        <x:v>0.702</x:v>
      </x:c>
      <x:c r="F214" s="189" t="n">
        <x:v>0.13</x:v>
      </x:c>
      <x:c r="G214" s="66"/>
      <x:c r="H214" s="66"/>
      <x:c r="I214" s="66"/>
    </x:row>
    <x:row r="215" ht="15" hidden="0" customHeight="1">
      <x:c r="C215" s="184" t="str">
        <x:v>Total other revenue</x:v>
      </x:c>
      <x:c r="D215" s="189" t="n">
        <x:v>15.169</x:v>
      </x:c>
      <x:c r="E215" s="189" t="n">
        <x:v>109.82</x:v>
      </x:c>
      <x:c r="F215" s="189" t="n">
        <x:v>75.207</x:v>
      </x:c>
      <x:c r="G215" s="66"/>
      <x:c r="H215" s="66"/>
      <x:c r="I215" s="66"/>
    </x:row>
    <x:row r="216" ht="15" hidden="0" customHeight="1">
      <x:c r="C216" s="184" t="str">
        <x:v>Total revenue and reserve income</x:v>
      </x:c>
      <x:c r="D216" s="189" t="n">
        <x:v>1676.253</x:v>
      </x:c>
      <x:c r="E216" s="189" t="n">
        <x:v>2746.642</x:v>
      </x:c>
      <x:c r="F216" s="189" t="n">
        <x:v>1395.448</x:v>
      </x:c>
      <x:c r="G216" s="66"/>
      <x:c r="H216" s="66"/>
      <x:c r="I216" s="66"/>
    </x:row>
    <x:row r="217" ht="15" hidden="0" customHeight="1">
      <x:c r="C217" s="184"/>
      <x:c r="D217" s="66"/>
      <x:c r="E217" s="66"/>
      <x:c r="F217" s="66"/>
      <x:c r="G217" s="66"/>
      <x:c r="H217" s="66"/>
      <x:c r="I217" s="66"/>
    </x:row>
    <x:row r="218" ht="15" hidden="0" customHeight="1">
      <x:c r="C218" s="184"/>
      <x:c r="D218" s="66"/>
      <x:c r="E218" s="66"/>
      <x:c r="F218" s="66"/>
      <x:c r="G218" s="66"/>
      <x:c r="H218" s="66"/>
      <x:c r="I218" s="66"/>
    </x:row>
    <x:row r="219" ht="15" hidden="0" customHeight="1">
      <x:c r="C219" s="184"/>
      <x:c r="D219" s="66"/>
      <x:c r="E219" s="66"/>
      <x:c r="F219" s="66"/>
      <x:c r="G219" s="66"/>
      <x:c r="H219" s="66"/>
      <x:c r="I219" s="66"/>
    </x:row>
    <x:row r="220">
      <x:c r="C220" s="66" t="str">
        <x:v>FY2024 EPS includes preferred dividends and allocation to participating securities. See evidence notes.</x:v>
      </x:c>
      <x:c r="D220" s="66"/>
      <x:c r="E220" s="66"/>
      <x:c r="F220" s="66"/>
      <x:c r="G220" s="66"/>
      <x:c r="H220" s="66"/>
      <x:c r="I220" s="66"/>
    </x:row>
  </x:sheetData>
  <x:conditionalFormatting sqref="D9:F9">
    <x:cfRule type="cellIs" dxfId="159" priority="1" operator="greaterThan">
      <x:formula>0</x:formula>
    </x:cfRule>
    <x:cfRule type="cellIs" dxfId="160" priority="2" operator="lessThan">
      <x:formula>0</x:formula>
    </x:cfRule>
  </x:conditionalFormatting>
  <x:conditionalFormatting sqref="D10:F10">
    <x:cfRule type="cellIs" dxfId="161" priority="3" operator="greaterThan">
      <x:formula>0</x:formula>
    </x:cfRule>
    <x:cfRule type="cellIs" dxfId="162" priority="4" operator="lessThan">
      <x:formula>0</x:formula>
    </x:cfRule>
  </x:conditionalFormatting>
  <x:conditionalFormatting sqref="D11:F11">
    <x:cfRule type="cellIs" dxfId="163" priority="5" operator="greaterThan">
      <x:formula>0</x:formula>
    </x:cfRule>
    <x:cfRule type="cellIs" dxfId="164" priority="6" operator="lessThan">
      <x:formula>0</x:formula>
    </x:cfRule>
  </x:conditionalFormatting>
  <x:conditionalFormatting sqref="D12:F12">
    <x:cfRule type="cellIs" dxfId="165" priority="7" operator="greaterThan">
      <x:formula>0</x:formula>
    </x:cfRule>
    <x:cfRule type="cellIs" dxfId="166" priority="8" operator="lessThan">
      <x:formula>0</x:formula>
    </x:cfRule>
  </x:conditionalFormatting>
  <x:conditionalFormatting sqref="D13:F13">
    <x:cfRule type="cellIs" dxfId="167" priority="9" operator="greaterThan">
      <x:formula>0</x:formula>
    </x:cfRule>
    <x:cfRule type="cellIs" dxfId="168" priority="10" operator="lessThan">
      <x:formula>0</x:formula>
    </x:cfRule>
  </x:conditionalFormatting>
  <x:conditionalFormatting sqref="D14:F14">
    <x:cfRule type="cellIs" dxfId="169" priority="11" operator="greaterThan">
      <x:formula>0</x:formula>
    </x:cfRule>
    <x:cfRule type="cellIs" dxfId="170" priority="12" operator="lessThan">
      <x:formula>0</x:formula>
    </x:cfRule>
  </x:conditionalFormatting>
  <x:conditionalFormatting sqref="D15:F15">
    <x:cfRule type="cellIs" dxfId="171" priority="13" operator="greaterThan">
      <x:formula>0</x:formula>
    </x:cfRule>
    <x:cfRule type="cellIs" dxfId="172" priority="14" operator="lessThan">
      <x:formula>0</x:formula>
    </x:cfRule>
  </x:conditionalFormatting>
  <x:conditionalFormatting sqref="D16:F16">
    <x:cfRule type="cellIs" dxfId="173" priority="15" operator="greaterThan">
      <x:formula>0</x:formula>
    </x:cfRule>
    <x:cfRule type="cellIs" dxfId="174" priority="16" operator="lessThan">
      <x:formula>0</x:formula>
    </x:cfRule>
  </x:conditionalFormatting>
  <x:conditionalFormatting sqref="D17:F17">
    <x:cfRule type="cellIs" dxfId="175" priority="17" operator="greaterThan">
      <x:formula>0</x:formula>
    </x:cfRule>
    <x:cfRule type="cellIs" dxfId="176" priority="18" operator="lessThan">
      <x:formula>0</x:formula>
    </x:cfRule>
  </x:conditionalFormatting>
  <x:conditionalFormatting sqref="D18:F18">
    <x:cfRule type="cellIs" dxfId="177" priority="19" operator="greaterThan">
      <x:formula>0</x:formula>
    </x:cfRule>
    <x:cfRule type="cellIs" dxfId="178" priority="20" operator="lessThan">
      <x:formula>0</x:formula>
    </x:cfRule>
  </x:conditionalFormatting>
  <x:conditionalFormatting sqref="D19:F19">
    <x:cfRule type="cellIs" dxfId="179" priority="21" operator="greaterThan">
      <x:formula>0</x:formula>
    </x:cfRule>
    <x:cfRule type="cellIs" dxfId="180" priority="22" operator="lessThan">
      <x:formula>0</x:formula>
    </x:cfRule>
  </x:conditionalFormatting>
  <x:conditionalFormatting sqref="D20:F20">
    <x:cfRule type="cellIs" dxfId="181" priority="23" operator="greaterThan">
      <x:formula>0</x:formula>
    </x:cfRule>
    <x:cfRule type="cellIs" dxfId="182" priority="24" operator="lessThan">
      <x:formula>0</x:formula>
    </x:cfRule>
  </x:conditionalFormatting>
  <x:conditionalFormatting sqref="D21:F21">
    <x:cfRule type="cellIs" dxfId="183" priority="25" operator="greaterThan">
      <x:formula>0</x:formula>
    </x:cfRule>
    <x:cfRule type="cellIs" dxfId="184" priority="26" operator="lessThan">
      <x:formula>0</x:formula>
    </x:cfRule>
  </x:conditionalFormatting>
  <x:conditionalFormatting sqref="D22:F22">
    <x:cfRule type="cellIs" dxfId="185" priority="27" operator="greaterThan">
      <x:formula>0</x:formula>
    </x:cfRule>
    <x:cfRule type="cellIs" dxfId="186" priority="28" operator="lessThan">
      <x:formula>0</x:formula>
    </x:cfRule>
  </x:conditionalFormatting>
  <x:conditionalFormatting sqref="D23:F23">
    <x:cfRule type="cellIs" dxfId="187" priority="29" operator="greaterThan">
      <x:formula>0</x:formula>
    </x:cfRule>
    <x:cfRule type="cellIs" dxfId="188" priority="30" operator="lessThan">
      <x:formula>0</x:formula>
    </x:cfRule>
  </x:conditionalFormatting>
  <x:conditionalFormatting sqref="D24:F24">
    <x:cfRule type="cellIs" dxfId="189" priority="31" operator="greaterThan">
      <x:formula>0</x:formula>
    </x:cfRule>
    <x:cfRule type="cellIs" dxfId="190" priority="32" operator="lessThan">
      <x:formula>0</x:formula>
    </x:cfRule>
  </x:conditionalFormatting>
  <x:conditionalFormatting sqref="D25:F25">
    <x:cfRule type="cellIs" dxfId="191" priority="33" operator="greaterThan">
      <x:formula>0</x:formula>
    </x:cfRule>
    <x:cfRule type="cellIs" dxfId="192" priority="34" operator="lessThan">
      <x:formula>0</x:formula>
    </x:cfRule>
  </x:conditionalFormatting>
  <x:conditionalFormatting sqref="D26:F26">
    <x:cfRule type="cellIs" dxfId="193" priority="35" operator="greaterThan">
      <x:formula>0</x:formula>
    </x:cfRule>
    <x:cfRule type="cellIs" dxfId="194" priority="36" operator="lessThan">
      <x:formula>0</x:formula>
    </x:cfRule>
  </x:conditionalFormatting>
  <x:conditionalFormatting sqref="D27:F27">
    <x:cfRule type="cellIs" dxfId="195" priority="37" operator="greaterThan">
      <x:formula>0</x:formula>
    </x:cfRule>
    <x:cfRule type="cellIs" dxfId="196" priority="38" operator="lessThan">
      <x:formula>0</x:formula>
    </x:cfRule>
  </x:conditionalFormatting>
  <x:conditionalFormatting sqref="D28:F28">
    <x:cfRule type="cellIs" dxfId="197" priority="39" operator="greaterThan">
      <x:formula>0</x:formula>
    </x:cfRule>
    <x:cfRule type="cellIs" dxfId="198" priority="40" operator="lessThan">
      <x:formula>0</x:formula>
    </x:cfRule>
  </x:conditionalFormatting>
  <x:conditionalFormatting sqref="D29:F29">
    <x:cfRule type="cellIs" dxfId="199" priority="41" operator="greaterThan">
      <x:formula>0</x:formula>
    </x:cfRule>
    <x:cfRule type="cellIs" dxfId="200" priority="42" operator="lessThan">
      <x:formula>0</x:formula>
    </x:cfRule>
  </x:conditionalFormatting>
  <x:conditionalFormatting sqref="D30:F30">
    <x:cfRule type="cellIs" dxfId="201" priority="43" operator="greaterThan">
      <x:formula>0</x:formula>
    </x:cfRule>
    <x:cfRule type="cellIs" dxfId="202" priority="44" operator="lessThan">
      <x:formula>0</x:formula>
    </x:cfRule>
  </x:conditionalFormatting>
  <x:conditionalFormatting sqref="D31:F31">
    <x:cfRule type="cellIs" dxfId="203" priority="45" operator="greaterThan">
      <x:formula>0</x:formula>
    </x:cfRule>
    <x:cfRule type="cellIs" dxfId="204" priority="46" operator="lessThan">
      <x:formula>0</x:formula>
    </x:cfRule>
  </x:conditionalFormatting>
  <x:conditionalFormatting sqref="D35:F35">
    <x:cfRule type="cellIs" dxfId="205" priority="47" operator="greaterThan">
      <x:formula>0</x:formula>
    </x:cfRule>
    <x:cfRule type="cellIs" dxfId="206" priority="48" operator="lessThan">
      <x:formula>0</x:formula>
    </x:cfRule>
  </x:conditionalFormatting>
  <x:conditionalFormatting sqref="D54:F54">
    <x:cfRule type="cellIs" dxfId="207" priority="49" operator="greaterThan">
      <x:formula>0</x:formula>
    </x:cfRule>
    <x:cfRule type="cellIs" dxfId="208" priority="50" operator="lessThan">
      <x:formula>0</x:formula>
    </x:cfRule>
  </x:conditionalFormatting>
  <x:conditionalFormatting sqref="D64:F64">
    <x:cfRule type="cellIs" dxfId="209" priority="51" operator="greaterThan">
      <x:formula>0</x:formula>
    </x:cfRule>
    <x:cfRule type="cellIs" dxfId="210" priority="52" operator="lessThan">
      <x:formula>0</x:formula>
    </x:cfRule>
  </x:conditionalFormatting>
  <x:conditionalFormatting sqref="D72:F72">
    <x:cfRule type="cellIs" dxfId="211" priority="53" operator="greaterThan">
      <x:formula>0</x:formula>
    </x:cfRule>
    <x:cfRule type="cellIs" dxfId="212" priority="54" operator="lessThan">
      <x:formula>0</x:formula>
    </x:cfRule>
  </x:conditionalFormatting>
  <x:conditionalFormatting sqref="D75:F75">
    <x:cfRule type="cellIs" dxfId="213" priority="55" operator="greaterThan">
      <x:formula>0</x:formula>
    </x:cfRule>
    <x:cfRule type="cellIs" dxfId="214" priority="56" operator="lessThan">
      <x:formula>0</x:formula>
    </x:cfRule>
  </x:conditionalFormatting>
  <x:conditionalFormatting sqref="D104:F104">
    <x:cfRule type="cellIs" dxfId="215" priority="57" operator="greaterThan">
      <x:formula>0</x:formula>
    </x:cfRule>
    <x:cfRule type="cellIs" dxfId="216" priority="58" operator="lessThan">
      <x:formula>0</x:formula>
    </x:cfRule>
  </x:conditionalFormatting>
  <x:conditionalFormatting sqref="D122:F122">
    <x:cfRule type="cellIs" dxfId="217" priority="59" operator="greaterThan">
      <x:formula>0</x:formula>
    </x:cfRule>
    <x:cfRule type="cellIs" dxfId="218" priority="60" operator="lessThan">
      <x:formula>0</x:formula>
    </x:cfRule>
  </x:conditionalFormatting>
  <x:conditionalFormatting sqref="D123:F123">
    <x:cfRule type="cellIs" dxfId="219" priority="61" operator="greaterThan">
      <x:formula>0</x:formula>
    </x:cfRule>
    <x:cfRule type="cellIs" dxfId="220" priority="62" operator="lessThan">
      <x:formula>0</x:formula>
    </x:cfRule>
  </x:conditionalFormatting>
  <x:conditionalFormatting sqref="D127:F127">
    <x:cfRule type="cellIs" dxfId="221" priority="63" operator="greaterThan">
      <x:formula>0</x:formula>
    </x:cfRule>
    <x:cfRule type="cellIs" dxfId="222" priority="64" operator="lessThan">
      <x:formula>0</x:formula>
    </x:cfRule>
  </x:conditionalFormatting>
  <x:conditionalFormatting sqref="D128:F128">
    <x:cfRule type="cellIs" dxfId="223" priority="65" operator="greaterThan">
      <x:formula>0</x:formula>
    </x:cfRule>
    <x:cfRule type="cellIs" dxfId="224" priority="66" operator="lessThan">
      <x:formula>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9070D4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76" hidden="0" customWidth="1"/>
    <x:col min="8" max="8" width="20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</x:row>
    <x:row r="2" ht="22" customHeight="1">
      <x:c r="C2" s="81" t="str">
        <x:v>Source inputs and dated claims</x:v>
      </x:c>
      <x:c r="D2" s="81"/>
      <x:c r="E2" s="81"/>
      <x:c r="F2" s="81"/>
      <x:c r="G2" s="81"/>
      <x:c r="H2" s="81"/>
    </x:row>
    <x:row r="3" ht="22" customHeight="1">
      <x:c r="C3" s="82"/>
      <x:c r="D3" s="82"/>
      <x:c r="E3" s="82"/>
      <x:c r="F3" s="82"/>
      <x:c r="G3" s="82"/>
      <x:c r="H3" s="82"/>
    </x:row>
    <x:row r="4" ht="22" customHeight="1">
      <x:c r="C4" s="69"/>
      <x:c r="D4" s="69"/>
      <x:c r="E4" s="69"/>
      <x:c r="F4" s="69"/>
      <x:c r="G4" s="69"/>
      <x:c r="H4" s="69"/>
    </x:row>
    <x:row r="5" ht="22" customHeight="1">
      <x:c r="C5" s="69"/>
      <x:c r="D5" s="69"/>
      <x:c r="E5" s="69"/>
      <x:c r="F5" s="69"/>
      <x:c r="G5" s="69"/>
      <x:c r="H5" s="69"/>
    </x:row>
    <x:row r="6" ht="22" customHeight="1">
      <x:c r="C6" s="122" t="str">
        <x:v>Input</x:v>
      </x:c>
      <x:c r="D6" s="122" t="str">
        <x:v>Value</x:v>
      </x:c>
      <x:c r="E6" s="122" t="str">
        <x:v>Unit</x:v>
      </x:c>
      <x:c r="F6" s="122" t="str"/>
      <x:c r="G6" s="122" t="str">
        <x:v>Source / classification</x:v>
      </x:c>
      <x:c r="H6" s="122" t="str">
        <x:v>Period</x:v>
      </x:c>
    </x:row>
    <x:row r="7" ht="22" customHeight="1">
      <x:c r="C7" s="69"/>
      <x:c r="D7" s="73"/>
      <x:c r="E7" s="73"/>
      <x:c r="F7" s="73"/>
      <x:c r="G7" s="73"/>
      <x:c r="H7" s="73"/>
    </x:row>
    <x:row r="8" ht="22" customHeight="1">
      <x:c r="C8" s="84" t="str">
        <x:v>Opening cash</x:v>
      </x:c>
      <x:c r="D8" s="196" t="n">
        <x:v>1730.126</x:v>
      </x:c>
      <x:c r="E8" s="197" t="str">
        <x:v>USD M</x:v>
      </x:c>
      <x:c r="F8" s="193"/>
      <x:c r="G8" s="197" t="str">
        <x:v>Q2 2026 Form 10-Q</x:v>
      </x:c>
      <x:c r="H8" s="197" t="str">
        <x:v>Jun 30, 2026</x:v>
      </x:c>
    </x:row>
    <x:row r="9" ht="22" customHeight="1">
      <x:c r="C9" s="84" t="str">
        <x:v>Opening corporate reserves</x:v>
      </x:c>
      <x:c r="D9" s="196" t="n">
        <x:v>889.311</x:v>
      </x:c>
      <x:c r="E9" s="197" t="str">
        <x:v>USD M</x:v>
      </x:c>
      <x:c r="F9" s="193"/>
      <x:c r="G9" s="197" t="str">
        <x:v>Q2 2026 Form 10-Q</x:v>
      </x:c>
      <x:c r="H9" s="197" t="str">
        <x:v>Jun 30, 2026</x:v>
      </x:c>
    </x:row>
    <x:row r="10" ht="22" customHeight="1">
      <x:c r="C10" s="84" t="str">
        <x:v>Opening holder reserves</x:v>
      </x:c>
      <x:c r="D10" s="196" t="n">
        <x:v>73161.172</x:v>
      </x:c>
      <x:c r="E10" s="197" t="str">
        <x:v>USD M</x:v>
      </x:c>
      <x:c r="F10" s="193"/>
      <x:c r="G10" s="197" t="str">
        <x:v>Q2 2026 Form 10-Q</x:v>
      </x:c>
      <x:c r="H10" s="197" t="str">
        <x:v>Jun 30, 2026</x:v>
      </x:c>
    </x:row>
    <x:row r="11" ht="22" customHeight="1">
      <x:c r="C11" s="84" t="str">
        <x:v>Opening receivables</x:v>
      </x:c>
      <x:c r="D11" s="196" t="n">
        <x:v>105.431</x:v>
      </x:c>
      <x:c r="E11" s="197" t="str">
        <x:v>USD M</x:v>
      </x:c>
      <x:c r="F11" s="193"/>
      <x:c r="G11" s="197" t="str">
        <x:v>Q2 2026 Form 10-Q</x:v>
      </x:c>
      <x:c r="H11" s="197" t="str">
        <x:v>Jun 30, 2026</x:v>
      </x:c>
    </x:row>
    <x:row r="12" ht="22" customHeight="1">
      <x:c r="C12" s="84" t="str">
        <x:v>Opening prepaid</x:v>
      </x:c>
      <x:c r="D12" s="196" t="n">
        <x:v>283.578</x:v>
      </x:c>
      <x:c r="E12" s="197" t="str">
        <x:v>USD M</x:v>
      </x:c>
      <x:c r="F12" s="193"/>
      <x:c r="G12" s="197" t="str">
        <x:v>Q2 2026 Form 10-Q</x:v>
      </x:c>
      <x:c r="H12" s="197" t="str">
        <x:v>Jun 30, 2026</x:v>
      </x:c>
    </x:row>
    <x:row r="13" ht="22" customHeight="1">
      <x:c r="C13" s="84" t="str">
        <x:v>Opening restricted cash</x:v>
      </x:c>
      <x:c r="D13" s="196" t="n">
        <x:v>12.806</x:v>
      </x:c>
      <x:c r="E13" s="197" t="str">
        <x:v>USD M</x:v>
      </x:c>
      <x:c r="F13" s="193"/>
      <x:c r="G13" s="197" t="str">
        <x:v>Q2 2026 Form 10-Q</x:v>
      </x:c>
      <x:c r="H13" s="197" t="str">
        <x:v>Jun 30, 2026</x:v>
      </x:c>
    </x:row>
    <x:row r="14" ht="22" customHeight="1">
      <x:c r="C14" s="84" t="str">
        <x:v>Opening investments</x:v>
      </x:c>
      <x:c r="D14" s="196" t="n">
        <x:v>103.757</x:v>
      </x:c>
      <x:c r="E14" s="197" t="str">
        <x:v>USD M</x:v>
      </x:c>
      <x:c r="F14" s="193"/>
      <x:c r="G14" s="197" t="str">
        <x:v>Q2 2026 Form 10-Q</x:v>
      </x:c>
      <x:c r="H14" s="197" t="str">
        <x:v>Jun 30, 2026</x:v>
      </x:c>
    </x:row>
    <x:row r="15" ht="22" customHeight="1">
      <x:c r="C15" s="84" t="str">
        <x:v>Opening ppe</x:v>
      </x:c>
      <x:c r="D15" s="196" t="n">
        <x:v>22.177</x:v>
      </x:c>
      <x:c r="E15" s="197" t="str">
        <x:v>USD M</x:v>
      </x:c>
      <x:c r="F15" s="193"/>
      <x:c r="G15" s="197" t="str">
        <x:v>Q2 2026 Form 10-Q</x:v>
      </x:c>
      <x:c r="H15" s="197" t="str">
        <x:v>Jun 30, 2026</x:v>
      </x:c>
    </x:row>
    <x:row r="16" ht="22" customHeight="1">
      <x:c r="C16" s="84" t="str">
        <x:v>Opening digital assets</x:v>
      </x:c>
      <x:c r="D16" s="196" t="n">
        <x:v>106.539</x:v>
      </x:c>
      <x:c r="E16" s="197" t="str">
        <x:v>USD M</x:v>
      </x:c>
      <x:c r="F16" s="193"/>
      <x:c r="G16" s="197" t="str">
        <x:v>Q2 2026 Form 10-Q</x:v>
      </x:c>
      <x:c r="H16" s="197" t="str">
        <x:v>Jun 30, 2026</x:v>
      </x:c>
    </x:row>
    <x:row r="17" ht="22" customHeight="1">
      <x:c r="C17" s="84" t="str">
        <x:v>Opening goodwill</x:v>
      </x:c>
      <x:c r="D17" s="196" t="n">
        <x:v>265.742</x:v>
      </x:c>
      <x:c r="E17" s="197" t="str">
        <x:v>USD M</x:v>
      </x:c>
      <x:c r="F17" s="193"/>
      <x:c r="G17" s="197" t="str">
        <x:v>Q2 2026 Form 10-Q</x:v>
      </x:c>
      <x:c r="H17" s="197" t="str">
        <x:v>Jun 30, 2026</x:v>
      </x:c>
    </x:row>
    <x:row r="18" ht="22" customHeight="1">
      <x:c r="C18" s="84" t="str">
        <x:v>Opening intangibles</x:v>
      </x:c>
      <x:c r="D18" s="196" t="n">
        <x:v>446.577</x:v>
      </x:c>
      <x:c r="E18" s="197" t="str">
        <x:v>USD M</x:v>
      </x:c>
      <x:c r="F18" s="193"/>
      <x:c r="G18" s="197" t="str">
        <x:v>Q2 2026 Form 10-Q</x:v>
      </x:c>
      <x:c r="H18" s="197" t="str">
        <x:v>Jun 30, 2026</x:v>
      </x:c>
    </x:row>
    <x:row r="19" ht="22" customHeight="1">
      <x:c r="C19" s="84" t="str">
        <x:v>Opening dta</x:v>
      </x:c>
      <x:c r="D19" s="196" t="n">
        <x:v>11.354</x:v>
      </x:c>
      <x:c r="E19" s="197" t="str">
        <x:v>USD M</x:v>
      </x:c>
      <x:c r="F19" s="193"/>
      <x:c r="G19" s="197" t="str">
        <x:v>Q2 2026 Form 10-Q</x:v>
      </x:c>
      <x:c r="H19" s="197" t="str">
        <x:v>Jun 30, 2026</x:v>
      </x:c>
    </x:row>
    <x:row r="20" ht="22" customHeight="1">
      <x:c r="C20" s="84" t="str">
        <x:v>Opening other assets</x:v>
      </x:c>
      <x:c r="D20" s="196" t="n">
        <x:v>26.89</x:v>
      </x:c>
      <x:c r="E20" s="197" t="str">
        <x:v>USD M</x:v>
      </x:c>
      <x:c r="F20" s="193"/>
      <x:c r="G20" s="197" t="str">
        <x:v>Q2 2026 Form 10-Q</x:v>
      </x:c>
      <x:c r="H20" s="197" t="str">
        <x:v>Jun 30, 2026</x:v>
      </x:c>
    </x:row>
    <x:row r="21" ht="22" customHeight="1">
      <x:c r="C21" s="84" t="str">
        <x:v>Opening deposits</x:v>
      </x:c>
      <x:c r="D21" s="196" t="n">
        <x:v>72927.544</x:v>
      </x:c>
      <x:c r="E21" s="197" t="str">
        <x:v>USD M</x:v>
      </x:c>
      <x:c r="F21" s="193"/>
      <x:c r="G21" s="197" t="str">
        <x:v>Q2 2026 Form 10-Q</x:v>
      </x:c>
      <x:c r="H21" s="197" t="str">
        <x:v>Jun 30, 2026</x:v>
      </x:c>
    </x:row>
    <x:row r="22" ht="22" customHeight="1">
      <x:c r="C22" s="84" t="str">
        <x:v>Opening payables</x:v>
      </x:c>
      <x:c r="D22" s="196" t="n">
        <x:v>418.588</x:v>
      </x:c>
      <x:c r="E22" s="197" t="str">
        <x:v>USD M</x:v>
      </x:c>
      <x:c r="F22" s="193"/>
      <x:c r="G22" s="197" t="str">
        <x:v>Q2 2026 Form 10-Q</x:v>
      </x:c>
      <x:c r="H22" s="197" t="str">
        <x:v>Jun 30, 2026</x:v>
      </x:c>
    </x:row>
    <x:row r="23" ht="22" customHeight="1">
      <x:c r="C23" s="84" t="str">
        <x:v>Opening debt</x:v>
      </x:c>
      <x:c r="D23" s="196" t="n">
        <x:v>0</x:v>
      </x:c>
      <x:c r="E23" s="197" t="str">
        <x:v>USD M</x:v>
      </x:c>
      <x:c r="F23" s="193"/>
      <x:c r="G23" s="197" t="str">
        <x:v>Q2 2026 Form 10-Q</x:v>
      </x:c>
      <x:c r="H23" s="197" t="str">
        <x:v>Jun 30, 2026</x:v>
      </x:c>
    </x:row>
    <x:row r="24" ht="22" customHeight="1">
      <x:c r="C24" s="84" t="str">
        <x:v>Opening other current liabilities</x:v>
      </x:c>
      <x:c r="D24" s="196" t="n">
        <x:v>256.021</x:v>
      </x:c>
      <x:c r="E24" s="197" t="str">
        <x:v>USD M</x:v>
      </x:c>
      <x:c r="F24" s="193"/>
      <x:c r="G24" s="197" t="str">
        <x:v>Q2 2026 Form 10-Q</x:v>
      </x:c>
      <x:c r="H24" s="197" t="str">
        <x:v>Jun 30, 2026</x:v>
      </x:c>
    </x:row>
    <x:row r="25" ht="22" customHeight="1">
      <x:c r="C25" s="84" t="str">
        <x:v>Opening dtl</x:v>
      </x:c>
      <x:c r="D25" s="196" t="n">
        <x:v>28.495</x:v>
      </x:c>
      <x:c r="E25" s="197" t="str">
        <x:v>USD M</x:v>
      </x:c>
      <x:c r="F25" s="193"/>
      <x:c r="G25" s="197" t="str">
        <x:v>Q2 2026 Form 10-Q</x:v>
      </x:c>
      <x:c r="H25" s="197" t="str">
        <x:v>Jun 30, 2026</x:v>
      </x:c>
    </x:row>
    <x:row r="26" ht="22" customHeight="1">
      <x:c r="C26" s="84" t="str">
        <x:v>Opening other liabilities</x:v>
      </x:c>
      <x:c r="D26" s="196" t="n">
        <x:v>24.837</x:v>
      </x:c>
      <x:c r="E26" s="197" t="str">
        <x:v>USD M</x:v>
      </x:c>
      <x:c r="F26" s="193"/>
      <x:c r="G26" s="197" t="str">
        <x:v>Q2 2026 Form 10-Q</x:v>
      </x:c>
      <x:c r="H26" s="197" t="str">
        <x:v>Jun 30, 2026</x:v>
      </x:c>
    </x:row>
    <x:row r="27" ht="22" customHeight="1">
      <x:c r="C27" s="84" t="str">
        <x:v>Opening apic</x:v>
      </x:c>
      <x:c r="D27" s="196" t="n">
        <x:v>4693.986</x:v>
      </x:c>
      <x:c r="E27" s="197" t="str">
        <x:v>USD M</x:v>
      </x:c>
      <x:c r="F27" s="193"/>
      <x:c r="G27" s="197" t="str">
        <x:v>Q2 2026 Form 10-Q</x:v>
      </x:c>
      <x:c r="H27" s="197" t="str">
        <x:v>Jun 30, 2026</x:v>
      </x:c>
    </x:row>
    <x:row r="28" ht="22" customHeight="1">
      <x:c r="C28" s="84" t="str">
        <x:v>Opening retained</x:v>
      </x:c>
      <x:c r="D28" s="196" t="n">
        <x:v>-1189.235</x:v>
      </x:c>
      <x:c r="E28" s="197" t="str">
        <x:v>USD M</x:v>
      </x:c>
      <x:c r="F28" s="193"/>
      <x:c r="G28" s="197" t="str">
        <x:v>Q2 2026 Form 10-Q</x:v>
      </x:c>
      <x:c r="H28" s="197" t="str">
        <x:v>Jun 30, 2026</x:v>
      </x:c>
    </x:row>
    <x:row r="29" ht="22" customHeight="1">
      <x:c r="C29" s="84" t="str">
        <x:v>Opening aoci</x:v>
      </x:c>
      <x:c r="D29" s="196" t="n">
        <x:v>6.449</x:v>
      </x:c>
      <x:c r="E29" s="197" t="str">
        <x:v>USD M</x:v>
      </x:c>
      <x:c r="F29" s="193"/>
      <x:c r="G29" s="197" t="str">
        <x:v>Q2 2026 Form 10-Q</x:v>
      </x:c>
      <x:c r="H29" s="197" t="str">
        <x:v>Jun 30, 2026</x:v>
      </x:c>
    </x:row>
    <x:row r="30" ht="22" customHeight="1">
      <x:c r="C30" s="84" t="str">
        <x:v>Opening common equity</x:v>
      </x:c>
      <x:c r="D30" s="196" t="n">
        <x:v>3508.582</x:v>
      </x:c>
      <x:c r="E30" s="197" t="str">
        <x:v>USD M</x:v>
      </x:c>
      <x:c r="F30" s="193"/>
      <x:c r="G30" s="197" t="str">
        <x:v>Q2 2026 Form 10-Q</x:v>
      </x:c>
      <x:c r="H30" s="197" t="str">
        <x:v>Jun 30, 2026</x:v>
      </x:c>
    </x:row>
    <x:row r="31" ht="22" customHeight="1">
      <x:c r="C31" s="84" t="str">
        <x:v>Opening nci</x:v>
      </x:c>
      <x:c r="D31" s="196" t="n">
        <x:v>1.393</x:v>
      </x:c>
      <x:c r="E31" s="197" t="str">
        <x:v>USD M</x:v>
      </x:c>
      <x:c r="F31" s="193"/>
      <x:c r="G31" s="197" t="str">
        <x:v>Q2 2026 Form 10-Q</x:v>
      </x:c>
      <x:c r="H31" s="197" t="str">
        <x:v>Jun 30, 2026</x:v>
      </x:c>
    </x:row>
    <x:row r="32" ht="22" customHeight="1">
      <x:c r="C32" s="84" t="str">
        <x:v>Opening other equity</x:v>
      </x:c>
      <x:c r="D32" s="196" t="n">
        <x:v>-2.6180000000000963</x:v>
      </x:c>
      <x:c r="E32" s="197" t="str">
        <x:v>USD M</x:v>
      </x:c>
      <x:c r="F32" s="193"/>
      <x:c r="G32" s="197" t="str">
        <x:v>Q2 2026 Form 10-Q</x:v>
      </x:c>
      <x:c r="H32" s="197" t="str">
        <x:v>Jun 30, 2026</x:v>
      </x:c>
    </x:row>
    <x:row r="33" ht="22" customHeight="1">
      <x:c r="C33" s="84" t="str">
        <x:v>usdc</x:v>
      </x:c>
      <x:c r="D33" s="196" t="n">
        <x:v>73269</x:v>
      </x:c>
      <x:c r="E33" s="197" t="str">
        <x:v>USD M</x:v>
      </x:c>
      <x:c r="F33" s="193"/>
      <x:c r="G33" s="197" t="str">
        <x:v>Q2 2026 filing / calculation</x:v>
      </x:c>
      <x:c r="H33" s="197" t="str">
        <x:v>Jun 30, 2026</x:v>
      </x:c>
    </x:row>
    <x:row r="34" ht="22" customHeight="1">
      <x:c r="C34" s="84" t="str">
        <x:v>subscription annual</x:v>
      </x:c>
      <x:c r="D34" s="196" t="n">
        <x:v>112.624</x:v>
      </x:c>
      <x:c r="E34" s="197" t="str">
        <x:v>USD M/year</x:v>
      </x:c>
      <x:c r="F34" s="193"/>
      <x:c r="G34" s="197" t="str">
        <x:v>Q2 2026 filing / calculation</x:v>
      </x:c>
      <x:c r="H34" s="197" t="str">
        <x:v>Jun 30, 2026</x:v>
      </x:c>
    </x:row>
    <x:row r="35" ht="22" customHeight="1">
      <x:c r="C35" s="84" t="str">
        <x:v>transaction annual</x:v>
      </x:c>
      <x:c r="D35" s="196" t="n">
        <x:v>21.32</x:v>
      </x:c>
      <x:c r="E35" s="197" t="str">
        <x:v>USD M/year</x:v>
      </x:c>
      <x:c r="F35" s="193"/>
      <x:c r="G35" s="197" t="str">
        <x:v>Q2 2026 filing / calculation</x:v>
      </x:c>
      <x:c r="H35" s="197" t="str">
        <x:v>Jun 30, 2026</x:v>
      </x:c>
    </x:row>
    <x:row r="36" ht="22" customHeight="1">
      <x:c r="C36" s="84" t="str">
        <x:v>other annual</x:v>
      </x:c>
      <x:c r="D36" s="196" t="n">
        <x:v>0.384</x:v>
      </x:c>
      <x:c r="E36" s="197" t="str">
        <x:v>USD M/year</x:v>
      </x:c>
      <x:c r="F36" s="193"/>
      <x:c r="G36" s="197" t="str">
        <x:v>Q2 2026 filing / calculation</x:v>
      </x:c>
      <x:c r="H36" s="197" t="str">
        <x:v>Jun 30, 2026</x:v>
      </x:c>
    </x:row>
    <x:row r="37" ht="22" customHeight="1">
      <x:c r="C37" s="84" t="str">
        <x:v>expense annual</x:v>
      </x:c>
      <x:c r="D37" s="196" t="n">
        <x:v>683.9599999999999</x:v>
      </x:c>
      <x:c r="E37" s="197" t="str">
        <x:v>USD M/year</x:v>
      </x:c>
      <x:c r="F37" s="193"/>
      <x:c r="G37" s="197" t="str">
        <x:v>Q2 GAAP expense less rounded SBC and D&amp;A, annualized</x:v>
      </x:c>
      <x:c r="H37" s="197" t="str">
        <x:v>Jun 30, 2026</x:v>
      </x:c>
    </x:row>
    <x:row r="38" ht="22" customHeight="1">
      <x:c r="C38" s="84" t="str">
        <x:v>capitalized sbc ratio</x:v>
      </x:c>
      <x:c r="D38" s="114" t="n">
        <x:v>0.22014511310285956</x:v>
      </x:c>
      <x:c r="E38" s="197" t="str">
        <x:v>rate</x:v>
      </x:c>
      <x:c r="F38" s="193"/>
      <x:c r="G38" s="197" t="str">
        <x:v>Q2 2026 filing / calculation</x:v>
      </x:c>
      <x:c r="H38" s="197" t="str">
        <x:v>Jun 30, 2026</x:v>
      </x:c>
    </x:row>
    <x:row r="39" ht="22" customHeight="1">
      <x:c r="C39" s="84" t="str">
        <x:v>arc cash</x:v>
      </x:c>
      <x:c r="D39" s="196" t="n">
        <x:v>222</x:v>
      </x:c>
      <x:c r="E39" s="197" t="str">
        <x:v>USD M</x:v>
      </x:c>
      <x:c r="F39" s="193"/>
      <x:c r="G39" s="197" t="str">
        <x:v>Q2 2026 filing / calculation</x:v>
      </x:c>
      <x:c r="H39" s="197" t="str">
        <x:v>Jun 30, 2026</x:v>
      </x:c>
    </x:row>
    <x:row r="40" ht="22" customHeight="1">
      <x:c r="C40" s="84" t="str">
        <x:v>arc receivable</x:v>
      </x:c>
      <x:c r="D40" s="196" t="n">
        <x:v>20.2</x:v>
      </x:c>
      <x:c r="E40" s="197" t="str">
        <x:v>USD M</x:v>
      </x:c>
      <x:c r="F40" s="193"/>
      <x:c r="G40" s="197" t="str">
        <x:v>Q2 2026 filing / calculation</x:v>
      </x:c>
      <x:c r="H40" s="197" t="str">
        <x:v>Jun 30, 2026</x:v>
      </x:c>
    </x:row>
    <x:row r="41" ht="22" customHeight="1">
      <x:c r="C41" s="84" t="str">
        <x:v>arc deferred</x:v>
      </x:c>
      <x:c r="D41" s="196" t="n">
        <x:v>242.2</x:v>
      </x:c>
      <x:c r="E41" s="197" t="str">
        <x:v>USD M</x:v>
      </x:c>
      <x:c r="F41" s="193"/>
      <x:c r="G41" s="197" t="str">
        <x:v>Q2 2026 filing / calculation</x:v>
      </x:c>
      <x:c r="H41" s="197" t="str">
        <x:v>Jun 30, 2026</x:v>
      </x:c>
    </x:row>
    <x:row r="42" ht="22" customHeight="1">
      <x:c r="C42" s="84" t="str">
        <x:v>indefinite intangibles</x:v>
      </x:c>
      <x:c r="D42" s="196" t="n">
        <x:v>266.83</x:v>
      </x:c>
      <x:c r="E42" s="197" t="str">
        <x:v>USD M</x:v>
      </x:c>
      <x:c r="F42" s="193"/>
      <x:c r="G42" s="197" t="str">
        <x:v>Q2 2026 filing / calculation</x:v>
      </x:c>
      <x:c r="H42" s="197" t="str">
        <x:v>Jun 30, 2026</x:v>
      </x:c>
    </x:row>
    <x:row r="43" ht="22" customHeight="1">
      <x:c r="C43" s="84" t="str">
        <x:v>old amortizing</x:v>
      </x:c>
      <x:c r="D43" s="196" t="n">
        <x:v>179.747</x:v>
      </x:c>
      <x:c r="E43" s="197" t="str">
        <x:v>USD M</x:v>
      </x:c>
      <x:c r="F43" s="193"/>
      <x:c r="G43" s="197" t="str">
        <x:v>Q2 2026 filing / calculation</x:v>
      </x:c>
      <x:c r="H43" s="197" t="str">
        <x:v>Jun 30, 2026</x:v>
      </x:c>
    </x:row>
    <x:row r="44" ht="22" customHeight="1">
      <x:c r="C44" s="84" t="str">
        <x:v>old ppe depreciation annual</x:v>
      </x:c>
      <x:c r="D44" s="196" t="n">
        <x:v>4.023999999999987</x:v>
      </x:c>
      <x:c r="E44" s="197" t="str">
        <x:v>USD M/year</x:v>
      </x:c>
      <x:c r="F44" s="193"/>
      <x:c r="G44" s="197" t="str">
        <x:v>Q2 2026 filing / calculation</x:v>
      </x:c>
      <x:c r="H44" s="197" t="str">
        <x:v>Jun 30, 2026</x:v>
      </x:c>
    </x:row>
    <x:row r="45" ht="22" customHeight="1">
      <x:c r="C45" s="84" t="str">
        <x:v>binance cash</x:v>
      </x:c>
      <x:c r="D45" s="196" t="n">
        <x:v>100</x:v>
      </x:c>
      <x:c r="E45" s="197" t="str">
        <x:v>USD M</x:v>
      </x:c>
      <x:c r="F45" s="193"/>
      <x:c r="G45" s="197" t="str">
        <x:v>Sep 22, 2026 8-K</x:v>
      </x:c>
      <x:c r="H45" s="197" t="str">
        <x:v>Sep 17, 2026</x:v>
      </x:c>
    </x:row>
    <x:row r="46" ht="22" customHeight="1">
      <x:c r="C46" s="84" t="str">
        <x:v>binance shares</x:v>
      </x:c>
      <x:c r="D46" s="196" t="n">
        <x:v>1.237011</x:v>
      </x:c>
      <x:c r="E46" s="197" t="str">
        <x:v>M shares</x:v>
      </x:c>
      <x:c r="F46" s="193"/>
      <x:c r="G46" s="197" t="str">
        <x:v>Sep 22, 2026 8-K</x:v>
      </x:c>
      <x:c r="H46" s="197" t="str">
        <x:v>Sep 17, 2026</x:v>
      </x:c>
    </x:row>
    <x:row r="47" ht="22" customHeight="1">
      <x:c r="C47" s="84" t="str">
        <x:v>basic shares june</x:v>
      </x:c>
      <x:c r="D47" s="196" t="n">
        <x:v>252.74</x:v>
      </x:c>
      <x:c r="E47" s="197" t="str">
        <x:v>M shares</x:v>
      </x:c>
      <x:c r="F47" s="193"/>
      <x:c r="G47" s="197" t="str">
        <x:v>Original SEC equity rollforward / Note 15; canonical source override</x:v>
      </x:c>
      <x:c r="H47" s="197" t="str">
        <x:v>Jun 30, 2026</x:v>
      </x:c>
    </x:row>
    <x:row r="48" ht="22" customHeight="1">
      <x:c r="C48" s="84" t="str">
        <x:v>basic shares july</x:v>
      </x:c>
      <x:c r="D48" s="196" t="n">
        <x:v>253.875881</x:v>
      </x:c>
      <x:c r="E48" s="197" t="str">
        <x:v>M shares</x:v>
      </x:c>
      <x:c r="F48" s="193"/>
      <x:c r="G48" s="197" t="str">
        <x:v>Original SEC Q2 cover, July 30 outstanding shares</x:v>
      </x:c>
      <x:c r="H48" s="197" t="str">
        <x:v>Jul 30, 2026</x:v>
      </x:c>
    </x:row>
    <x:row r="49" ht="22" customHeight="1">
      <x:c r="C49" s="84" t="str">
        <x:v>options</x:v>
      </x:c>
      <x:c r="D49" s="196" t="n">
        <x:v>7.201</x:v>
      </x:c>
      <x:c r="E49" s="197" t="str">
        <x:v>M shares</x:v>
      </x:c>
      <x:c r="F49" s="193"/>
      <x:c r="G49" s="197" t="str">
        <x:v>Q2 2026 filing / calculation</x:v>
      </x:c>
      <x:c r="H49" s="197" t="str">
        <x:v>Jun 30, 2026</x:v>
      </x:c>
    </x:row>
    <x:row r="50" ht="22" customHeight="1">
      <x:c r="C50" s="84" t="str">
        <x:v>option strike</x:v>
      </x:c>
      <x:c r="D50" s="196" t="n">
        <x:v>15.43</x:v>
      </x:c>
      <x:c r="E50" s="197" t="str">
        <x:v>USD/share</x:v>
      </x:c>
      <x:c r="F50" s="193"/>
      <x:c r="G50" s="197" t="str">
        <x:v>Q2 2026 filing / calculation</x:v>
      </x:c>
      <x:c r="H50" s="197" t="str">
        <x:v>Jun 30, 2026</x:v>
      </x:c>
    </x:row>
    <x:row r="51" ht="22" customHeight="1">
      <x:c r="C51" s="84" t="str">
        <x:v>rsus</x:v>
      </x:c>
      <x:c r="D51" s="196" t="n">
        <x:v>14.635</x:v>
      </x:c>
      <x:c r="E51" s="197" t="str">
        <x:v>M shares</x:v>
      </x:c>
      <x:c r="F51" s="193"/>
      <x:c r="G51" s="197" t="str">
        <x:v>Q2 2026 filing / calculation</x:v>
      </x:c>
      <x:c r="H51" s="197" t="str">
        <x:v>Jun 30, 2026</x:v>
      </x:c>
    </x:row>
    <x:row r="52" ht="22" customHeight="1">
      <x:c r="C52" s="84" t="str">
        <x:v>business combination unissued shares</x:v>
      </x:c>
      <x:c r="D52" s="196" t="n">
        <x:v>0.3</x:v>
      </x:c>
      <x:c r="E52" s="197" t="str">
        <x:v>M shares</x:v>
      </x:c>
      <x:c r="F52" s="193"/>
      <x:c r="G52" s="197" t="str">
        <x:v>Original SEC equity rollforward / Note 15; canonical source override</x:v>
      </x:c>
      <x:c r="H52" s="197" t="str">
        <x:v>Jun 30, 2026</x:v>
      </x:c>
    </x:row>
    <x:row r="53" ht="22" customHeight="1">
      <x:c r="C53" s="84" t="str">
        <x:v>tazapay consideration</x:v>
      </x:c>
      <x:c r="D53" s="196" t="n">
        <x:v>400</x:v>
      </x:c>
      <x:c r="E53" s="197" t="str">
        <x:v>USD M</x:v>
      </x:c>
      <x:c r="F53" s="193"/>
      <x:c r="G53" s="197" t="str">
        <x:v>Sep 8, 2026 8-K</x:v>
      </x:c>
      <x:c r="H53" s="197" t="str">
        <x:v>Sep 4, 2026</x:v>
      </x:c>
    </x:row>
    <x:row r="54" ht="22" customHeight="1">
      <x:c r="C54" s="84" t="str">
        <x:v>tazapay incentive</x:v>
      </x:c>
      <x:c r="D54" s="196" t="n">
        <x:v>25</x:v>
      </x:c>
      <x:c r="E54" s="197" t="str">
        <x:v>USD M</x:v>
      </x:c>
      <x:c r="F54" s="193"/>
      <x:c r="G54" s="197" t="str">
        <x:v>Sep 8, 2026 8-K</x:v>
      </x:c>
      <x:c r="H54" s="197" t="str">
        <x:v>Sep 4, 2026</x:v>
      </x:c>
    </x:row>
    <x:row r="55" ht="22" customHeight="1">
      <x:c r="C55" s="84" t="str">
        <x:v>opening service receivables</x:v>
      </x:c>
      <x:c r="D55" s="196" t="n">
        <x:v>61.055</x:v>
      </x:c>
      <x:c r="E55" s="197" t="str">
        <x:v>USD M</x:v>
      </x:c>
      <x:c r="F55" s="193"/>
      <x:c r="G55" s="197" t="str">
        <x:v>Original SEC Notes 10/20/21; segmented source balances</x:v>
      </x:c>
      <x:c r="H55" s="197" t="str">
        <x:v>Jun 30, 2026</x:v>
      </x:c>
    </x:row>
    <x:row r="56" ht="22" customHeight="1">
      <x:c r="C56" s="84" t="str">
        <x:v>nonordinary receivables</x:v>
      </x:c>
      <x:c r="D56" s="196" t="n">
        <x:v>24.176</x:v>
      </x:c>
      <x:c r="E56" s="197" t="str">
        <x:v>USD M</x:v>
      </x:c>
      <x:c r="F56" s="193"/>
      <x:c r="G56" s="197" t="str">
        <x:v>Original SEC Notes 10/20/21; segmented source balances</x:v>
      </x:c>
      <x:c r="H56" s="197" t="str">
        <x:v>Jun 30, 2026</x:v>
      </x:c>
    </x:row>
    <x:row r="57" ht="22" customHeight="1">
      <x:c r="C57" s="84" t="str">
        <x:v>opening operating prepaid</x:v>
      </x:c>
      <x:c r="D57" s="196" t="n">
        <x:v>36.806</x:v>
      </x:c>
      <x:c r="E57" s="197" t="str">
        <x:v>USD M</x:v>
      </x:c>
      <x:c r="F57" s="193"/>
      <x:c r="G57" s="197" t="str">
        <x:v>Original SEC Notes 10/20/21; segmented source balances</x:v>
      </x:c>
      <x:c r="H57" s="197" t="str">
        <x:v>Jun 30, 2026</x:v>
      </x:c>
    </x:row>
    <x:row r="58" ht="22" customHeight="1">
      <x:c r="C58" s="84" t="str">
        <x:v>tax receivable</x:v>
      </x:c>
      <x:c r="D58" s="196" t="n">
        <x:v>51.828</x:v>
      </x:c>
      <x:c r="E58" s="197" t="str">
        <x:v>USD M</x:v>
      </x:c>
      <x:c r="F58" s="193"/>
      <x:c r="G58" s="197" t="str">
        <x:v>Original SEC Notes 10/20/21; segmented source balances</x:v>
      </x:c>
      <x:c r="H58" s="197" t="str">
        <x:v>Jun 30, 2026</x:v>
      </x:c>
    </x:row>
    <x:row r="59" ht="22" customHeight="1">
      <x:c r="C59" s="84" t="str">
        <x:v>digital financial assets</x:v>
      </x:c>
      <x:c r="D59" s="196" t="n">
        <x:v>1.363</x:v>
      </x:c>
      <x:c r="E59" s="197" t="str">
        <x:v>USD M</x:v>
      </x:c>
      <x:c r="F59" s="193"/>
      <x:c r="G59" s="197" t="str">
        <x:v>Original SEC Notes 10/20/21; segmented source balances</x:v>
      </x:c>
      <x:c r="H59" s="197" t="str">
        <x:v>Jun 30, 2026</x:v>
      </x:c>
    </x:row>
    <x:row r="60" ht="22" customHeight="1">
      <x:c r="C60" s="84" t="str">
        <x:v>opening reserve income receivable</x:v>
      </x:c>
      <x:c r="D60" s="196" t="n">
        <x:v>193.581</x:v>
      </x:c>
      <x:c r="E60" s="197" t="str">
        <x:v>USD M</x:v>
      </x:c>
      <x:c r="F60" s="193"/>
      <x:c r="G60" s="197" t="str">
        <x:v>Original SEC Notes 10/20/21; segmented source balances</x:v>
      </x:c>
      <x:c r="H60" s="197" t="str">
        <x:v>Jun 30, 2026</x:v>
      </x:c>
    </x:row>
    <x:row r="61" ht="22" customHeight="1">
      <x:c r="C61" s="84" t="str">
        <x:v>opening own reserve receivable</x:v>
      </x:c>
      <x:c r="D61" s="196" t="n">
        <x:v>2.324815527415263</x:v>
      </x:c>
      <x:c r="E61" s="197" t="str">
        <x:v>USD M</x:v>
      </x:c>
      <x:c r="F61" s="193"/>
      <x:c r="G61" s="197" t="str">
        <x:v>Analyst allocation of original SEC Notes 20/21</x:v>
      </x:c>
      <x:c r="H61" s="197" t="str">
        <x:v>Jun 30, 2026</x:v>
      </x:c>
    </x:row>
    <x:row r="62" ht="22" customHeight="1">
      <x:c r="C62" s="84" t="str">
        <x:v>opening operating payables</x:v>
      </x:c>
      <x:c r="D62" s="196" t="n">
        <x:v>160.274</x:v>
      </x:c>
      <x:c r="E62" s="197" t="str">
        <x:v>USD M</x:v>
      </x:c>
      <x:c r="F62" s="193"/>
      <x:c r="G62" s="197" t="str">
        <x:v>Original SEC Notes 10/20/21; segmented source balances</x:v>
      </x:c>
      <x:c r="H62" s="197" t="str">
        <x:v>Jun 30, 2026</x:v>
      </x:c>
    </x:row>
    <x:row r="63" ht="22" customHeight="1">
      <x:c r="C63" s="84" t="str">
        <x:v>opening distribution payable</x:v>
      </x:c>
      <x:c r="D63" s="196" t="n">
        <x:v>105.799</x:v>
      </x:c>
      <x:c r="E63" s="197" t="str">
        <x:v>USD M</x:v>
      </x:c>
      <x:c r="F63" s="193"/>
      <x:c r="G63" s="197" t="str">
        <x:v>Original SEC Notes 10/20/21; segmented source balances</x:v>
      </x:c>
      <x:c r="H63" s="197" t="str">
        <x:v>Jun 30, 2026</x:v>
      </x:c>
    </x:row>
    <x:row r="64" ht="22" customHeight="1">
      <x:c r="C64" s="84" t="str">
        <x:v>opening own distribution payable</x:v>
      </x:c>
      <x:c r="D64" s="196" t="n">
        <x:v>1.270595554238316</x:v>
      </x:c>
      <x:c r="E64" s="197" t="str">
        <x:v>USD M</x:v>
      </x:c>
      <x:c r="F64" s="193"/>
      <x:c r="G64" s="197" t="str">
        <x:v>Analyst allocation of original SEC Notes 20/21</x:v>
      </x:c>
      <x:c r="H64" s="197" t="str">
        <x:v>Jun 30, 2026</x:v>
      </x:c>
    </x:row>
    <x:row r="65" ht="22" customHeight="1">
      <x:c r="C65" s="84" t="str">
        <x:v>tax payable</x:v>
      </x:c>
      <x:c r="D65" s="196" t="n">
        <x:v>3.499</x:v>
      </x:c>
      <x:c r="E65" s="197" t="str">
        <x:v>USD M</x:v>
      </x:c>
      <x:c r="F65" s="193"/>
      <x:c r="G65" s="197" t="str">
        <x:v>Original SEC Notes 10/20/21; segmented source balances</x:v>
      </x:c>
      <x:c r="H65" s="197" t="str">
        <x:v>Jun 30, 2026</x:v>
      </x:c>
    </x:row>
    <x:row r="66" ht="22" customHeight="1">
      <x:c r="C66" s="84" t="str">
        <x:v>opening redemption transit</x:v>
      </x:c>
      <x:c r="D66" s="196" t="n">
        <x:v>149.016</x:v>
      </x:c>
      <x:c r="E66" s="197" t="str">
        <x:v>USD M</x:v>
      </x:c>
      <x:c r="F66" s="193"/>
      <x:c r="G66" s="197" t="str">
        <x:v>Original SEC Notes 10/20/21; segmented source balances</x:v>
      </x:c>
      <x:c r="H66" s="197" t="str">
        <x:v>Jun 30, 2026</x:v>
      </x:c>
    </x:row>
    <x:row r="67" ht="22" customHeight="1">
      <x:c r="C67" s="84" t="str">
        <x:v>non transit reserve buffer</x:v>
      </x:c>
      <x:c r="D67" s="196" t="n">
        <x:v>84.612</x:v>
      </x:c>
      <x:c r="E67" s="197" t="str">
        <x:v>USD M</x:v>
      </x:c>
      <x:c r="F67" s="193"/>
      <x:c r="G67" s="197" t="str">
        <x:v>Original SEC Notes 10/20/21; segmented source balances</x:v>
      </x:c>
      <x:c r="H67" s="197" t="str">
        <x:v>Jun 30, 2026</x:v>
      </x:c>
    </x:row>
    <x:row r="68" ht="22" customHeight="1">
      <x:c r="C68" s="84" t="str">
        <x:v>reserve income annual anchor</x:v>
      </x:c>
      <x:c r="D68" s="196" t="n">
        <x:v>2670.932</x:v>
      </x:c>
      <x:c r="E68" s="197" t="str">
        <x:v>USD M/year</x:v>
      </x:c>
      <x:c r="F68" s="193"/>
      <x:c r="G68" s="197" t="str">
        <x:v>Q2 2026 filing / calculation</x:v>
      </x:c>
      <x:c r="H68" s="197" t="str">
        <x:v>Jun 30, 2026</x:v>
      </x:c>
    </x:row>
    <x:row r="69" ht="22" customHeight="1">
      <x:c r="C69" s="84" t="str">
        <x:v>distribution annual anchor</x:v>
      </x:c>
      <x:c r="D69" s="196" t="n">
        <x:v>1641.656</x:v>
      </x:c>
      <x:c r="E69" s="197" t="str">
        <x:v>USD M/year</x:v>
      </x:c>
      <x:c r="F69" s="193"/>
      <x:c r="G69" s="197" t="str">
        <x:v>Q2 2026 filing / calculation</x:v>
      </x:c>
      <x:c r="H69" s="197" t="str">
        <x:v>Jun 30, 2026</x:v>
      </x:c>
    </x:row>
    <x:row r="70" ht="22" customHeight="1">
      <x:c r="C70" s="84" t="str">
        <x:v>own reserve opening allocation</x:v>
      </x:c>
      <x:c r="D70" s="114" t="n">
        <x:v>0.012009523286971671</x:v>
      </x:c>
      <x:c r="E70" s="197" t="str">
        <x:v>rate</x:v>
      </x:c>
      <x:c r="F70" s="193"/>
      <x:c r="G70" s="197" t="str">
        <x:v>Analyst allocation of original SEC Notes 20/21</x:v>
      </x:c>
      <x:c r="H70" s="197" t="str">
        <x:v>Jun 30, 2026</x:v>
      </x:c>
    </x:row>
    <x:row r="71" ht="22" customHeight="1">
      <x:c r="C71" s="84" t="str">
        <x:v>CRCL reference closing price</x:v>
      </x:c>
      <x:c r="D71" s="206" t="n">
        <x:v>84.27</x:v>
      </x:c>
      <x:c r="E71" s="197" t="str">
        <x:v>USD/share</x:v>
      </x:c>
      <x:c r="F71" s="193"/>
      <x:c r="G71" s="197" t="str">
        <x:v>ChartExchange + Investing historical closes</x:v>
      </x:c>
      <x:c r="H71" s="197" t="str">
        <x:v>Oct 13, 2026</x:v>
      </x:c>
    </x:row>
    <x:row r="72" ht="22" customHeight="1">
      <x:c r="C72" s="84" t="str">
        <x:v>Valuation date</x:v>
      </x:c>
      <x:c r="D72" s="199" t="d">
        <x:v>2026-10-13T00:00:00.000Z</x:v>
      </x:c>
      <x:c r="E72" s="197" t="str">
        <x:v>date</x:v>
      </x:c>
      <x:c r="F72" s="193"/>
      <x:c r="G72" s="197" t="str">
        <x:v>Locked reference date</x:v>
      </x:c>
      <x:c r="H72" s="197" t="str">
        <x:v>Oct 13, 2026</x:v>
      </x:c>
    </x:row>
    <x:row r="73" ht="22" customHeight="1">
      <x:c r="C73" s="84" t="str">
        <x:v>risk free rate</x:v>
      </x:c>
      <x:c r="D73" s="207" t="n">
        <x:v>0.0521</x:v>
      </x:c>
      <x:c r="E73" s="197" t="str">
        <x:v>rate</x:v>
      </x:c>
      <x:c r="F73" s="193"/>
      <x:c r="G73" s="197" t="str">
        <x:v>U.S. Treasury Oct 13 nominal 10Y</x:v>
      </x:c>
      <x:c r="H73" s="197" t="str">
        <x:v>Oct 2026</x:v>
      </x:c>
    </x:row>
    <x:row r="74" ht="22" customHeight="1">
      <x:c r="C74" s="84" t="str">
        <x:v>equity risk premium</x:v>
      </x:c>
      <x:c r="D74" s="207" t="n">
        <x:v>0.042</x:v>
      </x:c>
      <x:c r="E74" s="197" t="str">
        <x:v>rate</x:v>
      </x:c>
      <x:c r="F74" s="193"/>
      <x:c r="G74" s="197" t="str">
        <x:v>NYU Stern Oct 1 implied ERP estimate</x:v>
      </x:c>
      <x:c r="H74" s="197" t="str">
        <x:v>Oct 2026</x:v>
      </x:c>
    </x:row>
    <x:row r="75" ht="22" customHeight="1">
      <x:c r="C75" s="84" t="str">
        <x:v>beta</x:v>
      </x:c>
      <x:c r="D75" s="208" t="n">
        <x:v>1.65</x:v>
      </x:c>
      <x:c r="E75" s="197" t="str">
        <x:v>multiple</x:v>
      </x:c>
      <x:c r="F75" s="193"/>
      <x:c r="G75" s="197" t="str">
        <x:v>Analyst assumption</x:v>
      </x:c>
      <x:c r="H75" s="197" t="str">
        <x:v>Oct 2026</x:v>
      </x:c>
    </x:row>
    <x:row r="76" ht="22" customHeight="1">
      <x:c r="C76" s="84" t="str">
        <x:v>discount rate</x:v>
      </x:c>
      <x:c r="D76" s="97" t="n">
        <x:f>D73+D74*D75</x:f>
        <x:v>0.12140000000000001</x:v>
      </x:c>
      <x:c r="E76" s="197" t="str">
        <x:v>rate</x:v>
      </x:c>
      <x:c r="F76" s="193"/>
      <x:c r="G76" s="197" t="str">
        <x:v>Analyst assumption</x:v>
      </x:c>
      <x:c r="H76" s="197" t="str">
        <x:v>Oct 2026</x:v>
      </x:c>
    </x:row>
    <x:row r="77" ht="22" customHeight="1">
      <x:c r="C77" s="84" t="str">
        <x:v>terminal growth</x:v>
      </x:c>
      <x:c r="D77" s="114" t="n">
        <x:v>0.03</x:v>
      </x:c>
      <x:c r="E77" s="197" t="str">
        <x:v>rate</x:v>
      </x:c>
      <x:c r="F77" s="193"/>
      <x:c r="G77" s="197" t="str">
        <x:v>Analyst assumption</x:v>
      </x:c>
      <x:c r="H77" s="197" t="str">
        <x:v>Oct 2026</x:v>
      </x:c>
    </x:row>
    <x:row r="78" ht="22" customHeight="1">
      <x:c r="C78" s="84" t="str">
        <x:v>liquidity buffer years</x:v>
      </x:c>
      <x:c r="D78" s="196" t="n">
        <x:v>0.5</x:v>
      </x:c>
      <x:c r="E78" s="197" t="str">
        <x:v>years</x:v>
      </x:c>
      <x:c r="F78" s="193"/>
      <x:c r="G78" s="197" t="str">
        <x:v>Analyst assumption</x:v>
      </x:c>
      <x:c r="H78" s="197" t="str">
        <x:v>Oct 2026</x:v>
      </x:c>
    </x:row>
    <x:row r="79" ht="22" customHeight="1">
      <x:c r="C79" s="84" t="str">
        <x:v>non operating investment haircut</x:v>
      </x:c>
      <x:c r="D79" s="114" t="n">
        <x:v>0.5</x:v>
      </x:c>
      <x:c r="E79" s="197" t="str">
        <x:v>rate</x:v>
      </x:c>
      <x:c r="F79" s="193"/>
      <x:c r="G79" s="197" t="str">
        <x:v>Analyst assumption</x:v>
      </x:c>
      <x:c r="H79" s="197" t="str">
        <x:v>Oct 2026</x:v>
      </x:c>
    </x:row>
    <x:row r="80" ht="22" customHeight="1">
      <x:c r="C80" s="84" t="str">
        <x:v>tazapay value at closing</x:v>
      </x:c>
      <x:c r="D80" s="196" t="n">
        <x:v>400</x:v>
      </x:c>
      <x:c r="E80" s="197" t="str">
        <x:v>USD M</x:v>
      </x:c>
      <x:c r="F80" s="193"/>
      <x:c r="G80" s="197" t="str">
        <x:v>Analyst assumption</x:v>
      </x:c>
      <x:c r="H80" s="197" t="str">
        <x:v>Oct 2026</x:v>
      </x:c>
    </x:row>
    <x:row r="81" ht="22" customHeight="1">
      <x:c r="C81" s="84" t="str">
        <x:v>tax rate</x:v>
      </x:c>
      <x:c r="D81" s="114" t="n">
        <x:v>0.25</x:v>
      </x:c>
      <x:c r="E81" s="197" t="str">
        <x:v>rate</x:v>
      </x:c>
      <x:c r="F81" s="193"/>
      <x:c r="G81" s="197" t="str">
        <x:v>Analyst control / forecast assumption</x:v>
      </x:c>
      <x:c r="H81" s="197" t="str">
        <x:v>2026-2031</x:v>
      </x:c>
    </x:row>
    <x:row r="82" ht="22" customHeight="1">
      <x:c r="C82" s="84" t="str">
        <x:v>software life years</x:v>
      </x:c>
      <x:c r="D82" s="196" t="n">
        <x:v>3</x:v>
      </x:c>
      <x:c r="E82" s="197" t="str">
        <x:v>years</x:v>
      </x:c>
      <x:c r="F82" s="193"/>
      <x:c r="G82" s="197" t="str">
        <x:v>Analyst control / forecast assumption</x:v>
      </x:c>
      <x:c r="H82" s="197" t="str">
        <x:v>2026-2031</x:v>
      </x:c>
    </x:row>
    <x:row r="83" ht="22" customHeight="1">
      <x:c r="C83" s="84" t="str">
        <x:v>ppe life years</x:v>
      </x:c>
      <x:c r="D83" s="196" t="n">
        <x:v>5</x:v>
      </x:c>
      <x:c r="E83" s="197" t="str">
        <x:v>years</x:v>
      </x:c>
      <x:c r="F83" s="193"/>
      <x:c r="G83" s="197" t="str">
        <x:v>Analyst control / forecast assumption</x:v>
      </x:c>
      <x:c r="H83" s="197" t="str">
        <x:v>2026-2031</x:v>
      </x:c>
    </x:row>
    <x:row r="84" ht="22" customHeight="1">
      <x:c r="C84" s="84" t="str">
        <x:v>share withholding fraction</x:v>
      </x:c>
      <x:c r="D84" s="114" t="n">
        <x:v>0.3</x:v>
      </x:c>
      <x:c r="E84" s="197" t="str">
        <x:v>rate</x:v>
      </x:c>
      <x:c r="F84" s="193"/>
      <x:c r="G84" s="197" t="str">
        <x:v>Analyst control / forecast assumption</x:v>
      </x:c>
      <x:c r="H84" s="197" t="str">
        <x:v>2026-2031</x:v>
      </x:c>
    </x:row>
    <x:row r="85" ht="22" customHeight="1">
      <x:c r="C85" s="84" t="str">
        <x:v>cash financing fees</x:v>
      </x:c>
      <x:c r="D85" s="196" t="n">
        <x:v>0</x:v>
      </x:c>
      <x:c r="E85" s="197" t="str">
        <x:v>USD M</x:v>
      </x:c>
      <x:c r="F85" s="193"/>
      <x:c r="G85" s="197" t="str">
        <x:v>Analyst control / forecast assumption</x:v>
      </x:c>
      <x:c r="H85" s="197" t="str">
        <x:v>2026-2031</x:v>
      </x:c>
    </x:row>
    <x:row r="86" ht="22" customHeight="1">
      <x:c r="C86" s="84" t="str">
        <x:v>Conditional acquisition enabled</x:v>
      </x:c>
      <x:c r="D86" s="196" t="n">
        <x:v>1</x:v>
      </x:c>
      <x:c r="E86" s="197" t="str">
        <x:v>0 / 1</x:v>
      </x:c>
      <x:c r="F86" s="193"/>
      <x:c r="G86" s="197" t="str">
        <x:v>Analyst scenario; pending closing</x:v>
      </x:c>
      <x:c r="H86" s="197" t="str">
        <x:v>As of Oct 13, 2026</x:v>
      </x:c>
    </x:row>
    <x:row r="87" ht="22" customHeight="1">
      <x:c r="C87" s="84" t="str">
        <x:v>ARC conservative refund rule</x:v>
      </x:c>
      <x:c r="D87" s="196" t="n">
        <x:v>1</x:v>
      </x:c>
      <x:c r="E87" s="197" t="str">
        <x:v>0 / 1</x:v>
      </x:c>
      <x:c r="F87" s="193"/>
      <x:c r="G87" s="197" t="str">
        <x:v>Analyst conditional settlement scenario</x:v>
      </x:c>
      <x:c r="H87" s="197" t="str">
        <x:v>As of Oct 13, 2026</x:v>
      </x:c>
    </x:row>
    <x:row r="88" ht="22" customHeight="1">
      <x:c r="C88" s="84" t="str">
        <x:v>Assumed acquisition close date</x:v>
      </x:c>
      <x:c r="D88" s="199" t="d">
        <x:v>2027-06-30T00:00:00.000Z</x:v>
      </x:c>
      <x:c r="E88" s="197" t="str">
        <x:v>date</x:v>
      </x:c>
      <x:c r="F88" s="193"/>
      <x:c r="G88" s="197" t="str">
        <x:v>Analyst timing; issuer says 2027</x:v>
      </x:c>
      <x:c r="H88" s="197" t="str">
        <x:v>Assumed Q2 2027</x:v>
      </x:c>
    </x:row>
    <x:row r="89" ht="22" customHeight="1">
      <x:c r="C89" s="84" t="str">
        <x:v>Assumed ARC settlement date</x:v>
      </x:c>
      <x:c r="D89" s="199" t="d">
        <x:v>2028-06-30T00:00:00.000Z</x:v>
      </x:c>
      <x:c r="E89" s="197" t="str">
        <x:v>date</x:v>
      </x:c>
      <x:c r="F89" s="193"/>
      <x:c r="G89" s="197" t="str">
        <x:v>Analyst quarter for May 8, 2028 milestone</x:v>
      </x:c>
      <x:c r="H89" s="197" t="str">
        <x:v>Assumed Q2 2028</x:v>
      </x:c>
    </x:row>
    <x:row r="90" ht="22" customHeight="1">
      <x:c r="C90" s="84" t="str">
        <x:v>Old RSU recognition / vest proxy years</x:v>
      </x:c>
      <x:c r="D90" s="196" t="n">
        <x:v>3.2</x:v>
      </x:c>
      <x:c r="E90" s="197" t="str">
        <x:v>years</x:v>
      </x:c>
      <x:c r="F90" s="193"/>
      <x:c r="G90" s="197" t="str">
        <x:v>Rounded weighted recognition horizon, Note 17</x:v>
      </x:c>
      <x:c r="H90" s="197" t="str">
        <x:v>Jun 30, 2026</x:v>
      </x:c>
    </x:row>
    <x:row r="91" ht="22" customHeight="1">
      <x:c r="C91" s="84" t="str">
        <x:v>Primary statement checks</x:v>
      </x:c>
      <x:c r="D91" s="196" t="n">
        <x:v>136</x:v>
      </x:c>
      <x:c r="E91" s="197" t="str">
        <x:v>checks</x:v>
      </x:c>
      <x:c r="F91" s="193"/>
      <x:c r="G91" s="197" t="str">
        <x:v>data/statement-closure/extraction-validation.json</x:v>
      </x:c>
      <x:c r="H91" s="197" t="str">
        <x:v>Jun 30, 2026</x:v>
      </x:c>
    </x:row>
    <x:row r="92" ht="22" customHeight="1">
      <x:c r="C92" s="84" t="str">
        <x:v>Existing award cost 1</x:v>
      </x:c>
      <x:c r="D92" s="196" t="n">
        <x:v>408.7</x:v>
      </x:c>
      <x:c r="E92" s="197" t="str">
        <x:v>USD M</x:v>
      </x:c>
      <x:c r="F92" s="193"/>
      <x:c r="G92" s="197" t="str">
        <x:v>Q2 2026 Form 10-Q</x:v>
      </x:c>
      <x:c r="H92" s="197" t="str">
        <x:v>Jun 30, 2026</x:v>
      </x:c>
    </x:row>
    <x:row r="93" ht="22" customHeight="1">
      <x:c r="C93" s="84" t="str">
        <x:v>Existing award recognition years 1</x:v>
      </x:c>
      <x:c r="D93" s="196" t="n">
        <x:v>3.2</x:v>
      </x:c>
      <x:c r="E93" s="197" t="str">
        <x:v>years</x:v>
      </x:c>
      <x:c r="F93" s="193"/>
      <x:c r="G93" s="197" t="str">
        <x:v>Q2 2026 Form 10-Q</x:v>
      </x:c>
      <x:c r="H93" s="197" t="str">
        <x:v>Jun 30, 2026</x:v>
      </x:c>
    </x:row>
    <x:row r="94" ht="22" customHeight="1">
      <x:c r="C94" s="84" t="str">
        <x:v>Existing award cost 2</x:v>
      </x:c>
      <x:c r="D94" s="196" t="n">
        <x:v>25.8</x:v>
      </x:c>
      <x:c r="E94" s="197" t="str">
        <x:v>USD M</x:v>
      </x:c>
      <x:c r="F94" s="193"/>
      <x:c r="G94" s="197" t="str">
        <x:v>Q2 2026 Form 10-Q</x:v>
      </x:c>
      <x:c r="H94" s="197" t="str">
        <x:v>Jun 30, 2026</x:v>
      </x:c>
    </x:row>
    <x:row r="95" ht="22" customHeight="1">
      <x:c r="C95" s="84" t="str">
        <x:v>Existing award recognition years 2</x:v>
      </x:c>
      <x:c r="D95" s="196" t="n">
        <x:v>1.5</x:v>
      </x:c>
      <x:c r="E95" s="197" t="str">
        <x:v>years</x:v>
      </x:c>
      <x:c r="F95" s="193"/>
      <x:c r="G95" s="197" t="str">
        <x:v>Q2 2026 Form 10-Q</x:v>
      </x:c>
      <x:c r="H95" s="197" t="str">
        <x:v>Jun 30, 2026</x:v>
      </x:c>
    </x:row>
    <x:row r="96" ht="22" customHeight="1">
      <x:c r="C96" s="84" t="str">
        <x:v>Existing award cost 3</x:v>
      </x:c>
      <x:c r="D96" s="196" t="n">
        <x:v>8.3</x:v>
      </x:c>
      <x:c r="E96" s="197" t="str">
        <x:v>USD M</x:v>
      </x:c>
      <x:c r="F96" s="193"/>
      <x:c r="G96" s="197" t="str">
        <x:v>Q2 2026 Form 10-Q</x:v>
      </x:c>
      <x:c r="H96" s="197" t="str">
        <x:v>Jun 30, 2026</x:v>
      </x:c>
    </x:row>
    <x:row r="97" ht="22" customHeight="1">
      <x:c r="C97" s="84" t="str">
        <x:v>Existing award recognition years 3</x:v>
      </x:c>
      <x:c r="D97" s="196" t="n">
        <x:v>2.4</x:v>
      </x:c>
      <x:c r="E97" s="197" t="str">
        <x:v>years</x:v>
      </x:c>
      <x:c r="F97" s="193"/>
      <x:c r="G97" s="197" t="str">
        <x:v>Q2 2026 Form 10-Q</x:v>
      </x:c>
      <x:c r="H97" s="197" t="str">
        <x:v>Jun 30, 2026</x:v>
      </x:c>
    </x:row>
    <x:row r="98" ht="22" customHeight="1">
      <x:c r="C98" s="84" t="str">
        <x:v>Existing award cost 4</x:v>
      </x:c>
      <x:c r="D98" s="196" t="n">
        <x:v>0.8</x:v>
      </x:c>
      <x:c r="E98" s="197" t="str">
        <x:v>USD M</x:v>
      </x:c>
      <x:c r="F98" s="193"/>
      <x:c r="G98" s="197" t="str">
        <x:v>Q2 2026 Form 10-Q</x:v>
      </x:c>
      <x:c r="H98" s="197" t="str">
        <x:v>Jun 30, 2026</x:v>
      </x:c>
    </x:row>
    <x:row r="99" ht="22" customHeight="1">
      <x:c r="C99" s="84" t="str">
        <x:v>Existing award recognition years 4</x:v>
      </x:c>
      <x:c r="D99" s="196" t="n">
        <x:v>0.2</x:v>
      </x:c>
      <x:c r="E99" s="197" t="str">
        <x:v>years</x:v>
      </x:c>
      <x:c r="F99" s="193"/>
      <x:c r="G99" s="197" t="str">
        <x:v>Q2 2026 Form 10-Q</x:v>
      </x:c>
      <x:c r="H99" s="197" t="str">
        <x:v>Jun 30, 2026</x:v>
      </x:c>
    </x:row>
    <x:row r="100" ht="22" customHeight="1">
      <x:c r="C100" s="84" t="str">
        <x:v>Remaining conditional warrants 1</x:v>
      </x:c>
      <x:c r="D100" s="196" t="n">
        <x:v>1.1</x:v>
      </x:c>
      <x:c r="E100" s="197" t="str">
        <x:v>M shares</x:v>
      </x:c>
      <x:c r="F100" s="193"/>
      <x:c r="G100" s="197" t="str">
        <x:v>Original SEC Note 15; expirations and exercises excluded</x:v>
      </x:c>
      <x:c r="H100" s="197" t="str">
        <x:v>Jun 30, 2026</x:v>
      </x:c>
    </x:row>
    <x:row r="101" ht="22" customHeight="1">
      <x:c r="C101" s="84" t="str">
        <x:v>Warrant strike 1</x:v>
      </x:c>
      <x:c r="D101" s="196" t="n">
        <x:v>42.14</x:v>
      </x:c>
      <x:c r="E101" s="197" t="str">
        <x:v>USD/share</x:v>
      </x:c>
      <x:c r="F101" s="193"/>
      <x:c r="G101" s="197" t="str">
        <x:v>Original SEC Note 15</x:v>
      </x:c>
      <x:c r="H101" s="197" t="str">
        <x:v>Jun 30, 2026</x:v>
      </x:c>
    </x:row>
    <x:row r="102" ht="22" customHeight="1">
      <x:c r="C102" s="84" t="str">
        <x:v>Remaining conditional warrants 2</x:v>
      </x:c>
      <x:c r="D102" s="196" t="n">
        <x:v>3.6</x:v>
      </x:c>
      <x:c r="E102" s="197" t="str">
        <x:v>M shares</x:v>
      </x:c>
      <x:c r="F102" s="193"/>
      <x:c r="G102" s="197" t="str">
        <x:v>Original SEC Note 15; expirations and exercises excluded</x:v>
      </x:c>
      <x:c r="H102" s="197" t="str">
        <x:v>Jun 30, 2026</x:v>
      </x:c>
    </x:row>
    <x:row r="103" ht="22" customHeight="1">
      <x:c r="C103" s="84" t="str">
        <x:v>Warrant strike 2</x:v>
      </x:c>
      <x:c r="D103" s="196" t="n">
        <x:v>25.09</x:v>
      </x:c>
      <x:c r="E103" s="197" t="str">
        <x:v>USD/share</x:v>
      </x:c>
      <x:c r="F103" s="193"/>
      <x:c r="G103" s="197" t="str">
        <x:v>Original SEC Note 15</x:v>
      </x:c>
      <x:c r="H103" s="197" t="str">
        <x:v>Jun 30, 2026</x:v>
      </x:c>
    </x:row>
    <x:row r="104" ht="22" customHeight="1">
      <x:c r="C104" s="84" t="str">
        <x:v>Remaining conditional warrants 3</x:v>
      </x:c>
      <x:c r="D104" s="196" t="n">
        <x:v>1.9</x:v>
      </x:c>
      <x:c r="E104" s="197" t="str">
        <x:v>M shares</x:v>
      </x:c>
      <x:c r="F104" s="193"/>
      <x:c r="G104" s="197" t="str">
        <x:v>Original SEC Note 15; expirations and exercises excluded</x:v>
      </x:c>
      <x:c r="H104" s="197" t="str">
        <x:v>Jun 30, 2026</x:v>
      </x:c>
    </x:row>
    <x:row r="105" ht="22" customHeight="1">
      <x:c r="C105" s="84" t="str">
        <x:v>Warrant strike 3</x:v>
      </x:c>
      <x:c r="D105" s="196" t="n">
        <x:v>22.71</x:v>
      </x:c>
      <x:c r="E105" s="197" t="str">
        <x:v>USD/share</x:v>
      </x:c>
      <x:c r="F105" s="193"/>
      <x:c r="G105" s="197" t="str">
        <x:v>Original SEC Note 15</x:v>
      </x:c>
      <x:c r="H105" s="197" t="str">
        <x:v>Jun 30, 2026</x:v>
      </x:c>
    </x:row>
    <x:row r="106" ht="22" customHeight="1">
      <x:c r="C106" s="84" t="str">
        <x:v>Old annual PPE depreciation proxy</x:v>
      </x:c>
      <x:c r="D106" s="196" t="n">
        <x:v>4.023999999999987</x:v>
      </x:c>
      <x:c r="E106" s="197" t="str">
        <x:v>USD M/year</x:v>
      </x:c>
      <x:c r="F106" s="193"/>
      <x:c r="G106" s="197" t="str">
        <x:v>H1 D&amp;A less intangible amortization, annualized</x:v>
      </x:c>
      <x:c r="H106" s="197" t="str">
        <x:v>Jun 30, 2026</x:v>
      </x:c>
    </x:row>
    <x:row r="107" ht="22" customHeight="1">
      <x:c r="C107" s="84" t="str">
        <x:v>Locked report reverse growth</x:v>
      </x:c>
      <x:c r="D107" s="114" t="n">
        <x:v>0.43195163166319606</x:v>
      </x:c>
      <x:c r="E107" s="197" t="str">
        <x:v>rate</x:v>
      </x:c>
      <x:c r="F107" s="193"/>
      <x:c r="G107" s="197" t="str">
        <x:v>Exact numerical solve; locked Base report inputs</x:v>
      </x:c>
      <x:c r="H107" s="197" t="str">
        <x:v>As of Oct 13, 2026</x:v>
      </x:c>
    </x:row>
    <x:row r="108" ht="22" customHeight="1">
      <x:c r="C108" s="84" t="str">
        <x:v>Locked report reference equity value</x:v>
      </x:c>
      <x:c r="D108" s="196" t="n">
        <x:v>23933.287006969997</x:v>
      </x:c>
      <x:c r="E108" s="197" t="str">
        <x:v>USD M</x:v>
      </x:c>
      <x:c r="F108" s="193"/>
      <x:c r="G108" s="197" t="str">
        <x:v>Reference price times conditional benchmark claims</x:v>
      </x:c>
      <x:c r="H108" s="197" t="str">
        <x:v>As of Oct 13, 2026</x:v>
      </x:c>
    </x:row>
    <x:row r="109" ht="22" customHeight="1">
      <x:c r="C109" s="69"/>
      <x:c r="D109" s="73"/>
      <x:c r="E109" s="193"/>
      <x:c r="F109" s="193"/>
      <x:c r="G109" s="193"/>
      <x:c r="H109" s="193"/>
    </x:row>
    <x:row r="110" ht="22" customHeight="1">
      <x:c r="C110" s="69"/>
      <x:c r="D110" s="73"/>
      <x:c r="E110" s="73"/>
      <x:c r="F110" s="73"/>
      <x:c r="G110" s="73"/>
      <x:c r="H110" s="73"/>
    </x:row>
    <x:row r="111" ht="22" customHeight="1">
      <x:c r="C111" s="84" t="str">
        <x:v>Full source URLs, original units and locators are below and in the supplied evidence ledger.</x:v>
      </x:c>
      <x:c r="D111" s="73"/>
      <x:c r="E111" s="73"/>
      <x:c r="F111" s="73"/>
      <x:c r="G111" s="73"/>
      <x:c r="H111" s="73"/>
    </x:row>
    <x:row r="112" ht="22" customHeight="1">
      <x:c r="C112" s="69"/>
      <x:c r="D112" s="73"/>
      <x:c r="E112" s="73"/>
      <x:c r="F112" s="73"/>
      <x:c r="G112" s="73"/>
      <x:c r="H112" s="73"/>
    </x:row>
    <x:row r="113" ht="22" customHeight="1">
      <x:c r="C113" s="84" t="str">
        <x:v>https://www.sec.gov/Archives/edgar/data/1876042/000187604226000248/crcl-20260630.htm</x:v>
      </x:c>
      <x:c r="D113" s="73"/>
      <x:c r="E113" s="73"/>
      <x:c r="F113" s="73"/>
      <x:c r="G113" s="73"/>
      <x:c r="H113" s="73"/>
    </x:row>
    <x:row r="114" ht="22" customHeight="1">
      <x:c r="C114" s="84" t="str">
        <x:v>https://www.sec.gov/Archives/edgar/data/1876042/000187604226000248/crcl-20260630.htm</x:v>
      </x:c>
      <x:c r="D114" s="73"/>
      <x:c r="E114" s="73"/>
      <x:c r="F114" s="73"/>
      <x:c r="G114" s="73"/>
      <x:c r="H114" s="73"/>
    </x:row>
    <x:row r="115" ht="22" customHeight="1">
      <x:c r="C115" s="84" t="str">
        <x:v>https://s206.q4cdn.com/265218871/files/doc_financials/2025/ar/CRCL_AR_2026_WO13_WKV_PR-1.pdf</x:v>
      </x:c>
      <x:c r="D115" s="73"/>
      <x:c r="E115" s="73"/>
      <x:c r="F115" s="73"/>
      <x:c r="G115" s="73"/>
      <x:c r="H115" s="73"/>
    </x:row>
    <x:row r="116" ht="22" customHeight="1">
      <x:c r="C116" s="84" t="str">
        <x:v>https://d18rn0p25nwr6d.cloudfront.net/CIK-0001876042/409012cd-a18d-489f-83e9-09a14c68ab0b.html</x:v>
      </x:c>
      <x:c r="D116" s="73"/>
      <x:c r="E116" s="73"/>
      <x:c r="F116" s="73"/>
      <x:c r="G116" s="73"/>
      <x:c r="H116" s="73"/>
    </x:row>
    <x:row r="117" ht="22" customHeight="1">
      <x:c r="C117" s="84" t="str">
        <x:v>https://www.sec.gov/Archives/edgar/data/1876042/000187604226000276/crcl-20260917.htm</x:v>
      </x:c>
      <x:c r="D117" s="73"/>
      <x:c r="E117" s="73"/>
      <x:c r="F117" s="73"/>
      <x:c r="G117" s="73"/>
      <x:c r="H117" s="73"/>
    </x:row>
    <x:row r="118" ht="22" customHeight="1">
      <x:c r="C118" s="84" t="str">
        <x:v>https://www.sec.gov/Archives/edgar/data/1876042/000187604226000267/crcl-20260904.htm</x:v>
      </x:c>
      <x:c r="D118" s="73"/>
      <x:c r="E118" s="73"/>
      <x:c r="F118" s="73"/>
      <x:c r="G118" s="73"/>
      <x:c r="H118" s="73"/>
    </x:row>
    <x:row r="119" ht="22" customHeight="1">
      <x:c r="C119" s="84" t="str">
        <x:v>https://chartexchange.com/symbol/nyse-crcl/historical/</x:v>
      </x:c>
      <x:c r="D119" s="73"/>
      <x:c r="E119" s="73"/>
      <x:c r="F119" s="73"/>
      <x:c r="G119" s="73"/>
      <x:c r="H119" s="73"/>
    </x:row>
    <x:row r="120" ht="22" customHeight="1">
      <x:c r="C120" s="69"/>
      <x:c r="D120" s="73"/>
      <x:c r="E120" s="73"/>
      <x:c r="F120" s="73"/>
      <x:c r="G120" s="73"/>
      <x:c r="H120" s="73"/>
    </x:row>
    <x:row r="121" ht="22" customHeight="1">
      <x:c r="C121" s="69"/>
      <x:c r="D121" s="73"/>
      <x:c r="E121" s="73"/>
      <x:c r="F121" s="73"/>
      <x:c r="G121" s="73"/>
      <x:c r="H121" s="73"/>
    </x:row>
    <x:row r="122" ht="22" customHeight="1">
      <x:c r="C122" s="69"/>
      <x:c r="D122" s="73"/>
      <x:c r="E122" s="73"/>
      <x:c r="F122" s="73"/>
      <x:c r="G122" s="73"/>
      <x:c r="H122" s="73"/>
    </x:row>
    <x:row r="123" ht="22" customHeight="1">
      <x:c r="C123" s="69"/>
      <x:c r="D123" s="73"/>
      <x:c r="E123" s="73"/>
      <x:c r="F123" s="73"/>
      <x:c r="G123" s="73"/>
      <x:c r="H123" s="73"/>
    </x:row>
    <x:row r="124" ht="22" customHeight="1">
      <x:c r="C124" s="69"/>
      <x:c r="D124" s="73"/>
      <x:c r="E124" s="73"/>
      <x:c r="F124" s="73"/>
      <x:c r="G124" s="73"/>
      <x:c r="H124" s="73"/>
    </x:row>
    <x:row r="125" ht="22" customHeight="1">
      <x:c r="C125" s="69"/>
      <x:c r="D125" s="73"/>
      <x:c r="E125" s="73"/>
      <x:c r="F125" s="73"/>
      <x:c r="G125" s="73"/>
      <x:c r="H125" s="73"/>
    </x:row>
    <x:row r="126" ht="22" customHeight="1">
      <x:c r="C126" s="69"/>
      <x:c r="D126" s="73"/>
      <x:c r="E126" s="73"/>
      <x:c r="F126" s="73"/>
      <x:c r="G126" s="73"/>
      <x:c r="H126" s="73"/>
    </x:row>
    <x:row r="127" ht="22" customHeight="1">
      <x:c r="C127" s="69"/>
      <x:c r="D127" s="73"/>
      <x:c r="E127" s="73"/>
      <x:c r="F127" s="73"/>
      <x:c r="G127" s="73"/>
      <x:c r="H127" s="73"/>
    </x:row>
    <x:row r="128" ht="22" customHeight="1">
      <x:c r="C128" s="69"/>
      <x:c r="D128" s="73"/>
      <x:c r="E128" s="73"/>
      <x:c r="F128" s="73"/>
      <x:c r="G128" s="73"/>
      <x:c r="H128" s="73"/>
    </x:row>
    <x:row r="129" ht="22" customHeight="1">
      <x:c r="C129" s="69"/>
      <x:c r="D129" s="73"/>
      <x:c r="E129" s="73"/>
      <x:c r="F129" s="73"/>
      <x:c r="G129" s="73"/>
      <x:c r="H129" s="73"/>
    </x:row>
    <x:row r="130" ht="22" customHeight="1">
      <x:c r="C130" s="69"/>
      <x:c r="D130" s="73"/>
      <x:c r="E130" s="73"/>
      <x:c r="F130" s="73"/>
      <x:c r="G130" s="73"/>
      <x:c r="H130" s="73"/>
    </x:row>
    <x:row r="131" ht="22" customHeight="1">
      <x:c r="C131" s="69"/>
      <x:c r="D131" s="73"/>
      <x:c r="E131" s="73"/>
      <x:c r="F131" s="73"/>
      <x:c r="G131" s="73"/>
      <x:c r="H131" s="73"/>
    </x:row>
    <x:row r="132" ht="22" customHeight="1">
      <x:c r="C132" s="69"/>
      <x:c r="D132" s="73"/>
      <x:c r="E132" s="73"/>
      <x:c r="F132" s="73"/>
      <x:c r="G132" s="73"/>
      <x:c r="H132" s="73"/>
    </x:row>
    <x:row r="133" ht="22" customHeight="1">
      <x:c r="C133" s="69"/>
      <x:c r="D133" s="73"/>
      <x:c r="E133" s="73"/>
      <x:c r="F133" s="73"/>
      <x:c r="G133" s="73"/>
      <x:c r="H133" s="73"/>
    </x:row>
    <x:row r="134" ht="22" customHeight="1">
      <x:c r="C134" s="69"/>
      <x:c r="D134" s="73"/>
      <x:c r="E134" s="73"/>
      <x:c r="F134" s="73"/>
      <x:c r="G134" s="73"/>
      <x:c r="H134" s="73"/>
    </x:row>
    <x:row r="135" ht="22" customHeight="1">
      <x:c r="C135" s="69"/>
      <x:c r="D135" s="73"/>
      <x:c r="E135" s="73"/>
      <x:c r="F135" s="73"/>
      <x:c r="G135" s="73"/>
      <x:c r="H135" s="73"/>
    </x:row>
    <x:row r="136" ht="22" customHeight="1">
      <x:c r="C136" s="69"/>
      <x:c r="D136" s="73"/>
      <x:c r="E136" s="73"/>
      <x:c r="F136" s="73"/>
      <x:c r="G136" s="73"/>
      <x:c r="H136" s="73"/>
    </x:row>
    <x:row r="137" ht="22" customHeight="1">
      <x:c r="C137" s="69"/>
      <x:c r="D137" s="73"/>
      <x:c r="E137" s="73"/>
      <x:c r="F137" s="73"/>
      <x:c r="G137" s="73"/>
      <x:c r="H137" s="73"/>
    </x:row>
    <x:row r="138" ht="22" customHeight="1">
      <x:c r="C138" s="69"/>
      <x:c r="D138" s="73"/>
      <x:c r="E138" s="73"/>
      <x:c r="F138" s="73"/>
      <x:c r="G138" s="73"/>
      <x:c r="H138" s="73"/>
    </x:row>
    <x:row r="139" ht="22" customHeight="1">
      <x:c r="C139" s="69"/>
      <x:c r="D139" s="73"/>
      <x:c r="E139" s="73"/>
      <x:c r="F139" s="73"/>
      <x:c r="G139" s="73"/>
      <x:c r="H139" s="73"/>
    </x:row>
    <x:row r="140" ht="22" customHeight="1">
      <x:c r="C140" s="69"/>
      <x:c r="D140" s="73"/>
      <x:c r="E140" s="73"/>
      <x:c r="F140" s="73"/>
      <x:c r="G140" s="73"/>
      <x:c r="H140" s="73"/>
    </x:row>
    <x:row r="141" ht="22" customHeight="1">
      <x:c r="C141" s="69"/>
      <x:c r="D141" s="73"/>
      <x:c r="E141" s="73"/>
      <x:c r="F141" s="73"/>
      <x:c r="G141" s="73"/>
      <x:c r="H141" s="73"/>
    </x:row>
    <x:row r="142" ht="22" customHeight="1">
      <x:c r="C142" s="69"/>
      <x:c r="D142" s="73"/>
      <x:c r="E142" s="73"/>
      <x:c r="F142" s="73"/>
      <x:c r="G142" s="73"/>
      <x:c r="H142" s="73"/>
    </x:row>
    <x:row r="143" ht="22" customHeight="1">
      <x:c r="C143" s="69"/>
      <x:c r="D143" s="73"/>
      <x:c r="E143" s="73"/>
      <x:c r="F143" s="73"/>
      <x:c r="G143" s="73"/>
      <x:c r="H143" s="73"/>
    </x:row>
    <x:row r="144" ht="22" customHeight="1">
      <x:c r="C144" s="69"/>
      <x:c r="D144" s="73"/>
      <x:c r="E144" s="73"/>
      <x:c r="F144" s="73"/>
      <x:c r="G144" s="73"/>
      <x:c r="H144" s="73"/>
    </x:row>
    <x:row r="145" ht="22" customHeight="1">
      <x:c r="C145" s="69"/>
      <x:c r="D145" s="73"/>
      <x:c r="E145" s="73"/>
      <x:c r="F145" s="73"/>
      <x:c r="G145" s="73"/>
      <x:c r="H145" s="73"/>
    </x:row>
    <x:row r="146" ht="22" customHeight="1">
      <x:c r="C146" s="69"/>
      <x:c r="D146" s="73"/>
      <x:c r="E146" s="73"/>
      <x:c r="F146" s="73"/>
      <x:c r="G146" s="73"/>
      <x:c r="H146" s="73"/>
    </x:row>
    <x:row r="147" ht="22" customHeight="1">
      <x:c r="C147" s="69"/>
      <x:c r="D147" s="73"/>
      <x:c r="E147" s="73"/>
      <x:c r="F147" s="73"/>
      <x:c r="G147" s="73"/>
      <x:c r="H147" s="73"/>
    </x:row>
    <x:row r="148" ht="22" customHeight="1">
      <x:c r="C148" s="69"/>
      <x:c r="D148" s="73"/>
      <x:c r="E148" s="73"/>
      <x:c r="F148" s="73"/>
      <x:c r="G148" s="73"/>
      <x:c r="H148" s="73"/>
    </x:row>
    <x:row r="149" ht="22" customHeight="1">
      <x:c r="C149" s="69"/>
      <x:c r="D149" s="73"/>
      <x:c r="E149" s="73"/>
      <x:c r="F149" s="73"/>
      <x:c r="G149" s="73"/>
      <x:c r="H149" s="73"/>
    </x:row>
    <x:row r="150" ht="22" customHeight="1">
      <x:c r="C150" s="69"/>
      <x:c r="D150" s="73"/>
      <x:c r="E150" s="73"/>
      <x:c r="F150" s="73"/>
      <x:c r="G150" s="73"/>
      <x:c r="H150" s="7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9070D4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49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  <x:c r="O1" s="66"/>
    </x:row>
    <x:row r="2" ht="22" customHeight="1">
      <x:c r="C2" s="81" t="str">
        <x:v>Independent reconciliation differences</x:v>
      </x:c>
      <x:c r="D2" s="81"/>
      <x:c r="E2" s="81"/>
      <x:c r="F2" s="81"/>
      <x:c r="G2" s="81"/>
      <x:c r="H2" s="81"/>
      <x:c r="I2" s="81"/>
      <x:c r="J2" s="81"/>
      <x:c r="K2" s="81"/>
      <x:c r="L2" s="81"/>
      <x:c r="M2" s="81"/>
      <x:c r="N2" s="81"/>
      <x:c r="O2" s="81"/>
    </x:row>
    <x:row r="3" ht="22" customHeight="1">
      <x:c r="C3" s="82"/>
      <x:c r="D3" s="82"/>
      <x:c r="E3" s="82"/>
      <x:c r="F3" s="82"/>
      <x:c r="G3" s="82"/>
      <x:c r="H3" s="82"/>
      <x:c r="I3" s="82"/>
      <x:c r="J3" s="82"/>
      <x:c r="K3" s="82"/>
      <x:c r="L3" s="82"/>
      <x:c r="M3" s="82"/>
      <x:c r="N3" s="82"/>
      <x:c r="O3" s="82"/>
    </x:row>
    <x:row r="4" ht="22" customHeight="1">
      <x:c r="C4" s="84" t="str">
        <x:v>Case selected</x:v>
      </x:c>
      <x:c r="D4" s="86" t="str">
        <x:f>Assumptions!$E$4</x:f>
        <x:v>Base</x:v>
      </x:c>
      <x:c r="E4" s="69"/>
      <x:c r="F4" s="69"/>
      <x:c r="G4" s="69"/>
      <x:c r="H4" s="69"/>
      <x:c r="I4" s="69"/>
      <x:c r="J4" s="69"/>
      <x:c r="K4" s="69"/>
      <x:c r="L4" s="69"/>
      <x:c r="M4" s="69"/>
      <x:c r="N4" s="69"/>
      <x:c r="O4" s="69"/>
    </x:row>
    <x:row r="5" ht="22" customHeight="1">
      <x:c r="C5" s="87" t="str">
        <x:v>USD M; shares M; per-share USD</x:v>
      </x:c>
      <x:c r="D5" s="69"/>
      <x:c r="E5" s="69"/>
      <x:c r="F5" s="69"/>
      <x:c r="G5" s="69"/>
      <x:c r="H5" s="69"/>
      <x:c r="I5" s="69"/>
      <x:c r="J5" s="69"/>
      <x:c r="K5" s="69"/>
      <x:c r="L5" s="69"/>
      <x:c r="M5" s="69"/>
      <x:c r="N5" s="69"/>
      <x:c r="O5" s="69"/>
    </x:row>
    <x:row r="6" ht="22" customHeight="1">
      <x:c r="C6" s="107"/>
      <x:c r="D6" s="107" t="str">
        <x:v>Q3:26</x:v>
      </x:c>
      <x:c r="E6" s="107" t="str">
        <x:v>Q4:26</x:v>
      </x:c>
      <x:c r="F6" s="107" t="str">
        <x:v>Q1:27</x:v>
      </x:c>
      <x:c r="G6" s="107" t="str">
        <x:v>Q2:27</x:v>
      </x:c>
      <x:c r="H6" s="107" t="str">
        <x:v>Q3:27</x:v>
      </x:c>
      <x:c r="I6" s="107" t="str">
        <x:v>Q4:27</x:v>
      </x:c>
      <x:c r="J6" s="107" t="str">
        <x:v>Q1:28</x:v>
      </x:c>
      <x:c r="K6" s="107" t="str">
        <x:v>Q2:28</x:v>
      </x:c>
      <x:c r="L6" s="107" t="str">
        <x:v>H2:28</x:v>
      </x:c>
      <x:c r="M6" s="107" t="str">
        <x:v>FY:29</x:v>
      </x:c>
      <x:c r="N6" s="107" t="str">
        <x:v>FY:30</x:v>
      </x:c>
      <x:c r="O6" s="107" t="str">
        <x:v>FY:31</x:v>
      </x:c>
    </x:row>
    <x:row r="7" ht="22" customHeight="1">
      <x:c r="C7" s="69"/>
      <x:c r="D7" s="73"/>
      <x:c r="E7" s="73"/>
      <x:c r="F7" s="73"/>
      <x:c r="G7" s="73"/>
      <x:c r="H7" s="73"/>
      <x:c r="I7" s="73"/>
      <x:c r="J7" s="73"/>
      <x:c r="K7" s="73"/>
      <x:c r="L7" s="73"/>
      <x:c r="M7" s="73"/>
      <x:c r="N7" s="73"/>
      <x:c r="O7" s="73"/>
    </x:row>
    <x:row r="8" ht="22" customHeight="1">
      <x:c r="C8" s="84" t="str">
        <x:v>Balance sheet: assets less all liabilities and equity</x:v>
      </x:c>
      <x:c r="D8" s="202" t="n">
        <x:f>Model!D119-Model!D120-Model!D118</x:f>
        <x:v>9.094947017729282e-13</x:v>
      </x:c>
      <x:c r="E8" s="202" t="n">
        <x:f>Model!E119-Model!E120-Model!E118</x:f>
        <x:v>1.6370904631912708e-11</x:v>
      </x:c>
      <x:c r="F8" s="202" t="n">
        <x:f>Model!F119-Model!F120-Model!F118</x:f>
        <x:v>1.5916157281026244e-11</x:v>
      </x:c>
      <x:c r="G8" s="202" t="n">
        <x:f>Model!G119-Model!G120-Model!G118</x:f>
        <x:v>1.9099388737231493e-11</x:v>
      </x:c>
      <x:c r="H8" s="202" t="n">
        <x:f>Model!H119-Model!H120-Model!H118</x:f>
        <x:v>2.1827872842550278e-11</x:v>
      </x:c>
      <x:c r="I8" s="202" t="n">
        <x:f>Model!I119-Model!I120-Model!I118</x:f>
        <x:v>2.546585164964199e-11</x:v>
      </x:c>
      <x:c r="J8" s="202" t="n">
        <x:f>Model!J119-Model!J120-Model!J118</x:f>
        <x:v>3.637978807091713e-12</x:v>
      </x:c>
      <x:c r="K8" s="202" t="n">
        <x:f>Model!K119-Model!K120-Model!K118</x:f>
        <x:v>1.3642420526593924e-11</x:v>
      </x:c>
      <x:c r="L8" s="202" t="n">
        <x:f>Model!L119-Model!L120-Model!L118</x:f>
        <x:v>1.9099388737231493e-11</x:v>
      </x:c>
      <x:c r="M8" s="202" t="n">
        <x:f>Model!M119-Model!M120-Model!M118</x:f>
        <x:v>5.729816621169448e-11</x:v>
      </x:c>
      <x:c r="N8" s="202" t="n">
        <x:f>Model!N119-Model!N120-Model!N118</x:f>
        <x:v>3.001332515850663e-11</x:v>
      </x:c>
      <x:c r="O8" s="202" t="n">
        <x:f>Model!O119-Model!O120-Model!O118</x:f>
        <x:v>6.275513442233205e-11</x:v>
      </x:c>
    </x:row>
    <x:row r="9" ht="22" customHeight="1">
      <x:c r="C9" s="84" t="str">
        <x:v>Bank cash roll-forward including internal transfer</x:v>
      </x:c>
      <x:c r="D9" s="202" t="n">
        <x:f>Model!D99-Model!D96-Model!D86-Model!D87-Model!D92-Model!D98</x:f>
        <x:v>-6.394884621840902e-14</x:v>
      </x:c>
      <x:c r="E9" s="202" t="n">
        <x:f>Model!E99-Model!E96-Model!E86-Model!E87-Model!E92-Model!E98</x:f>
        <x:v>5.684341886080802e-14</x:v>
      </x:c>
      <x:c r="F9" s="202" t="n">
        <x:f>Model!F99-Model!F96-Model!F86-Model!F87-Model!F92-Model!F98</x:f>
        <x:v>1.4210854715202004e-14</x:v>
      </x:c>
      <x:c r="G9" s="202" t="n">
        <x:f>Model!G99-Model!G96-Model!G86-Model!G87-Model!G92-Model!G98</x:f>
        <x:v>-3.552713678800501e-14</x:v>
      </x:c>
      <x:c r="H9" s="202" t="n">
        <x:f>Model!H99-Model!H96-Model!H86-Model!H87-Model!H92-Model!H98</x:f>
        <x:v>3.552713678800501e-13</x:v>
      </x:c>
      <x:c r="I9" s="202" t="n">
        <x:f>Model!I99-Model!I96-Model!I86-Model!I87-Model!I92-Model!I98</x:f>
        <x:v>-2.5579538487363607e-13</x:v>
      </x:c>
      <x:c r="J9" s="202" t="n">
        <x:f>Model!J99-Model!J96-Model!J86-Model!J87-Model!J92-Model!J98</x:f>
        <x:v>-3.765876499528531e-13</x:v>
      </x:c>
      <x:c r="K9" s="202" t="n">
        <x:f>Model!K99-Model!K96-Model!K86-Model!K87-Model!K92-Model!K98</x:f>
        <x:v>-1.3500311979441904e-13</x:v>
      </x:c>
      <x:c r="L9" s="202" t="n">
        <x:f>Model!L99-Model!L96-Model!L86-Model!L87-Model!L92-Model!L98</x:f>
        <x:v>1.4210854715202004e-14</x:v>
      </x:c>
      <x:c r="M9" s="202" t="n">
        <x:f>Model!M99-Model!M96-Model!M86-Model!M87-Model!M92-Model!M98</x:f>
        <x:v>-2.842170943040401e-14</x:v>
      </x:c>
      <x:c r="N9" s="202" t="n">
        <x:f>Model!N99-Model!N96-Model!N86-Model!N87-Model!N92-Model!N98</x:f>
        <x:v>2.984279490192421e-13</x:v>
      </x:c>
      <x:c r="O9" s="202" t="n">
        <x:f>Model!O99-Model!O96-Model!O86-Model!O87-Model!O92-Model!O98</x:f>
        <x:v>-4.689582056016661e-13</x:v>
      </x:c>
    </x:row>
    <x:row r="10" ht="22" customHeight="1">
      <x:c r="C10" s="84" t="str">
        <x:v>Combined bank and corporate-USDC cash roll-forward</x:v>
      </x:c>
      <x:c r="D10" s="202" t="n">
        <x:f>Model!D99+Model!D100-Sources!$D$8-Sources!$D$9-Model!D86-Model!D87-Model!D92</x:f>
        <x:v>4.973799150320701e-14</x:v>
      </x:c>
      <x:c r="E10" s="202" t="n">
        <x:f>Model!E99+Model!E100-Model!D99-Model!D100-Model!E86-Model!E87-Model!E92</x:f>
        <x:v>-5.684341886080802e-14</x:v>
      </x:c>
      <x:c r="F10" s="202" t="n">
        <x:f>Model!F99+Model!F100-Model!E99-Model!E100-Model!F86-Model!F87-Model!F92</x:f>
        <x:v>-9.947598300641403e-14</x:v>
      </x:c>
      <x:c r="G10" s="202" t="n">
        <x:f>Model!G99+Model!G100-Model!F99-Model!F100-Model!G86-Model!G87-Model!G92</x:f>
        <x:v>7.815970093361102e-14</x:v>
      </x:c>
      <x:c r="H10" s="202" t="n">
        <x:f>Model!H99+Model!H100-Model!G99-Model!G100-Model!H86-Model!H87-Model!H92</x:f>
        <x:v>4.689582056016661e-13</x:v>
      </x:c>
      <x:c r="I10" s="202" t="n">
        <x:f>Model!I99+Model!I100-Model!H99-Model!H100-Model!I86-Model!I87-Model!I92</x:f>
        <x:v>-1.4210854715202004e-13</x:v>
      </x:c>
      <x:c r="J10" s="202" t="n">
        <x:f>Model!J99+Model!J100-Model!I99-Model!I100-Model!J86-Model!J87-Model!J92</x:f>
        <x:v>-2.6290081223123707e-13</x:v>
      </x:c>
      <x:c r="K10" s="202" t="n">
        <x:f>Model!K99+Model!K100-Model!J99-Model!J100-Model!K86-Model!K87-Model!K92</x:f>
        <x:v>-2.1316282072803006e-14</x:v>
      </x:c>
      <x:c r="L10" s="202" t="n">
        <x:f>Model!L99+Model!L100-Model!K99-Model!K100-Model!L86-Model!L87-Model!L92</x:f>
        <x:v>1.2789769243681803e-13</x:v>
      </x:c>
      <x:c r="M10" s="202" t="n">
        <x:f>Model!M99+Model!M100-Model!L99-Model!L100-Model!M86-Model!M87-Model!M92</x:f>
        <x:v>8.526512829121202e-14</x:v>
      </x:c>
      <x:c r="N10" s="202" t="n">
        <x:f>Model!N99+Model!N100-Model!M99-Model!M100-Model!N86-Model!N87-Model!N92</x:f>
        <x:v>-4.263256414560601e-14</x:v>
      </x:c>
      <x:c r="O10" s="202" t="n">
        <x:f>Model!O99+Model!O100-Model!N99-Model!N100-Model!O86-Model!O87-Model!O92</x:f>
        <x:v>-8.100187187665142e-13</x:v>
      </x:c>
    </x:row>
    <x:row r="11" ht="22" customHeight="1">
      <x:c r="C11" s="84" t="str">
        <x:v>Retained earnings roll-forward</x:v>
      </x:c>
      <x:c r="D11" s="202" t="n">
        <x:f>Model!D104-Sources!$D$28-Model!D76</x:f>
        <x:v>-1.0658141036401503e-13</x:v>
      </x:c>
      <x:c r="E11" s="202" t="n">
        <x:f>Model!E104-Model!D104-Model!E76</x:f>
        <x:v>-6.394884621840902e-14</x:v>
      </x:c>
      <x:c r="F11" s="202" t="n">
        <x:f>Model!F104-Model!E104-Model!F76</x:f>
        <x:v>3.907985046680551e-14</x:v>
      </x:c>
      <x:c r="G11" s="202" t="n">
        <x:f>Model!G104-Model!F104-Model!G76</x:f>
        <x:v>2.842170943040401e-14</x:v>
      </x:c>
      <x:c r="H11" s="202" t="n">
        <x:f>Model!H104-Model!G104-Model!H76</x:f>
        <x:v>-4.263256414560601e-14</x:v>
      </x:c>
      <x:c r="I11" s="202" t="n">
        <x:f>Model!I104-Model!H104-Model!I76</x:f>
        <x:v>0</x:v>
      </x:c>
      <x:c r="J11" s="202" t="n">
        <x:f>Model!J104-Model!I104-Model!J76</x:f>
        <x:v>-4.973799150320701e-14</x:v>
      </x:c>
      <x:c r="K11" s="202" t="n">
        <x:f>Model!K104-Model!J104-Model!K76</x:f>
        <x:v>-1.4210854715202004e-14</x:v>
      </x:c>
      <x:c r="L11" s="202" t="n">
        <x:f>Model!L104-Model!K104-Model!L76</x:f>
        <x:v>0</x:v>
      </x:c>
      <x:c r="M11" s="202" t="n">
        <x:f>Model!M104-Model!L104-Model!M76</x:f>
        <x:v>0</x:v>
      </x:c>
      <x:c r="N11" s="202" t="n">
        <x:f>Model!N104-Model!M104-Model!N76</x:f>
        <x:v>0</x:v>
      </x:c>
      <x:c r="O11" s="202" t="n">
        <x:f>Model!O104-Model!N104-Model!O76</x:f>
        <x:v>1.1368683772161603e-13</x:v>
      </x:c>
    </x:row>
    <x:row r="12" ht="22" customHeight="1">
      <x:c r="C12" s="84" t="str">
        <x:v>Reserve asset change less custody financing</x:v>
      </x:c>
      <x:c r="D12" s="202" t="n">
        <x:f>Model!D94-Model!D93</x:f>
        <x:v>-1.318767317570746e-11</x:v>
      </x:c>
      <x:c r="E12" s="202" t="n">
        <x:f>Model!E94-Model!E93</x:f>
        <x:v>-1.0913936421275139e-11</x:v>
      </x:c>
      <x:c r="F12" s="202" t="n">
        <x:f>Model!F94-Model!F93</x:f>
        <x:v>1.3642420526593924e-11</x:v>
      </x:c>
      <x:c r="G12" s="202" t="n">
        <x:f>Model!G94-Model!G93</x:f>
        <x:v>-2.7284841053187847e-12</x:v>
      </x:c>
      <x:c r="H12" s="202" t="n">
        <x:f>Model!H94-Model!H93</x:f>
        <x:v>0</x:v>
      </x:c>
      <x:c r="I12" s="202" t="n">
        <x:f>Model!I94-Model!I93</x:f>
        <x:v>1.8189894035458565e-12</x:v>
      </x:c>
      <x:c r="J12" s="202" t="n">
        <x:f>Model!J94-Model!J93</x:f>
        <x:v>-5.4569682106375694e-12</x:v>
      </x:c>
      <x:c r="K12" s="202" t="n">
        <x:f>Model!K94-Model!K93</x:f>
        <x:v>5.4569682106375694e-12</x:v>
      </x:c>
      <x:c r="L12" s="202" t="n">
        <x:f>Model!L94-Model!L93</x:f>
        <x:v>-7.275957614183426e-12</x:v>
      </x:c>
      <x:c r="M12" s="202" t="n">
        <x:f>Model!M94-Model!M93</x:f>
        <x:v>0</x:v>
      </x:c>
      <x:c r="N12" s="202" t="n">
        <x:f>Model!N94-Model!N93</x:f>
        <x:v>-3.637978807091713e-12</x:v>
      </x:c>
      <x:c r="O12" s="202" t="n">
        <x:f>Model!O94-Model!O93</x:f>
        <x:v>1.8189894035458565e-11</x:v>
      </x:c>
    </x:row>
    <x:row r="13" ht="22" customHeight="1">
      <x:c r="C13" s="84" t="str">
        <x:v>Intangible roll-forward</x:v>
      </x:c>
      <x:c r="D13" s="202" t="n">
        <x:f>Model!D61-Sources!$D$18-Model!D49-Model!D48+Model!D55</x:f>
        <x:v>7.105427357601002e-15</x:v>
      </x:c>
      <x:c r="E13" s="202" t="n">
        <x:f>Model!E61-Model!D61-Model!E49-Model!E48+Model!E55</x:f>
        <x:v>-2.1316282072803006e-14</x:v>
      </x:c>
      <x:c r="F13" s="202" t="n">
        <x:f>Model!F61-Model!E61-Model!F49-Model!F48+Model!F55</x:f>
        <x:v>4.618527782440651e-14</x:v>
      </x:c>
      <x:c r="G13" s="202" t="n">
        <x:f>Model!G61-Model!F61-Model!G49-Model!G48+Model!G55</x:f>
        <x:v>-1.0658141036401503e-14</x:v>
      </x:c>
      <x:c r="H13" s="202" t="n">
        <x:f>Model!H61-Model!G61-Model!H49-Model!H48+Model!H55</x:f>
        <x:v>-7.105427357601002e-15</x:v>
      </x:c>
      <x:c r="I13" s="202" t="n">
        <x:f>Model!I61-Model!H61-Model!I49-Model!I48+Model!I55</x:f>
        <x:v>1.4210854715202004e-14</x:v>
      </x:c>
      <x:c r="J13" s="202" t="n">
        <x:f>Model!J61-Model!I61-Model!J49-Model!J48+Model!J55</x:f>
        <x:v>-1.7763568394002505e-14</x:v>
      </x:c>
      <x:c r="K13" s="202" t="n">
        <x:f>Model!K61-Model!J61-Model!K49-Model!K48+Model!K55</x:f>
        <x:v>-3.552713678800501e-15</x:v>
      </x:c>
      <x:c r="L13" s="202" t="n">
        <x:f>Model!L61-Model!K61-Model!L49-Model!L48+Model!L55</x:f>
        <x:v>9.237055564881302e-14</x:v>
      </x:c>
      <x:c r="M13" s="202" t="n">
        <x:f>Model!M61-Model!L61-Model!M49-Model!M48+Model!M55</x:f>
        <x:v>-8.526512829121202e-14</x:v>
      </x:c>
      <x:c r="N13" s="202" t="n">
        <x:f>Model!N61-Model!M61-Model!N49-Model!N48+Model!N55</x:f>
        <x:v>5.684341886080802e-14</x:v>
      </x:c>
      <x:c r="O13" s="202" t="n">
        <x:f>Model!O61-Model!N61-Model!O49-Model!O48+Model!O55</x:f>
        <x:v>-2.842170943040401e-14</x:v>
      </x:c>
    </x:row>
    <x:row r="14" ht="22" customHeight="1">
      <x:c r="C14" s="84" t="str">
        <x:v>PPE roll-forward</x:v>
      </x:c>
      <x:c r="D14" s="202" t="n">
        <x:f>Model!D62-Sources!$D$15-Model!D50+Model!D59</x:f>
        <x:v>-1.7763568394002505e-15</x:v>
      </x:c>
      <x:c r="E14" s="202" t="n">
        <x:f>Model!E62-Model!D62-Model!E50+Model!E59</x:f>
        <x:v>2.220446049250313e-16</x:v>
      </x:c>
      <x:c r="F14" s="202" t="n">
        <x:f>Model!F62-Model!E62-Model!F50+Model!F59</x:f>
        <x:v>-2.220446049250313e-16</x:v>
      </x:c>
      <x:c r="G14" s="202" t="n">
        <x:f>Model!G62-Model!F62-Model!G50+Model!G59</x:f>
        <x:v>3.552713678800501e-15</x:v>
      </x:c>
      <x:c r="H14" s="202" t="n">
        <x:f>Model!H62-Model!G62-Model!H50+Model!H59</x:f>
        <x:v>-2.6645352591003757e-15</x:v>
      </x:c>
      <x:c r="I14" s="202" t="n">
        <x:f>Model!I62-Model!H62-Model!I50+Model!I59</x:f>
        <x:v>-2.6645352591003757e-15</x:v>
      </x:c>
      <x:c r="J14" s="202" t="n">
        <x:f>Model!J62-Model!I62-Model!J50+Model!J59</x:f>
        <x:v>4.440892098500626e-15</x:v>
      </x:c>
      <x:c r="K14" s="202" t="n">
        <x:f>Model!K62-Model!J62-Model!K50+Model!K59</x:f>
        <x:v>-2.6645352591003757e-15</x:v>
      </x:c>
      <x:c r="L14" s="202" t="n">
        <x:f>Model!L62-Model!K62-Model!L50+Model!L59</x:f>
        <x:v>2.6645352591003757e-15</x:v>
      </x:c>
      <x:c r="M14" s="202" t="n">
        <x:f>Model!M62-Model!L62-Model!M50+Model!M59</x:f>
        <x:v>7.105427357601002e-15</x:v>
      </x:c>
      <x:c r="N14" s="202" t="n">
        <x:f>Model!N62-Model!M62-Model!N50+Model!N59</x:f>
        <x:v>-3.552713678800501e-15</x:v>
      </x:c>
      <x:c r="O14" s="202" t="n">
        <x:f>Model!O62-Model!N62-Model!O50+Model!O59</x:f>
        <x:v>7.105427357601002e-15</x:v>
      </x:c>
    </x:row>
    <x:row r="15" ht="22" customHeight="1">
      <x:c r="C15" s="84" t="str">
        <x:v>Capitalized SBC split</x:v>
      </x:c>
      <x:c r="D15" s="202" t="n">
        <x:f>Model!D48-Model!D45-Model!D47</x:f>
        <x:v>8.881784197001252e-16</x:v>
      </x:c>
      <x:c r="E15" s="202" t="n">
        <x:f>Model!E48-Model!E45-Model!E47</x:f>
        <x:v>-8.881784197001252e-16</x:v>
      </x:c>
      <x:c r="F15" s="202" t="n">
        <x:f>Model!F48-Model!F45-Model!F47</x:f>
        <x:v>8.881784197001252e-16</x:v>
      </x:c>
      <x:c r="G15" s="202" t="n">
        <x:f>Model!G48-Model!G45-Model!G47</x:f>
        <x:v>8.881784197001252e-16</x:v>
      </x:c>
      <x:c r="H15" s="202" t="n">
        <x:f>Model!H48-Model!H45-Model!H47</x:f>
        <x:v>8.881784197001252e-16</x:v>
      </x:c>
      <x:c r="I15" s="202" t="n">
        <x:f>Model!I48-Model!I45-Model!I47</x:f>
        <x:v>0</x:v>
      </x:c>
      <x:c r="J15" s="202" t="n">
        <x:f>Model!J48-Model!J45-Model!J47</x:f>
        <x:v>0</x:v>
      </x:c>
      <x:c r="K15" s="202" t="n">
        <x:f>Model!K48-Model!K45-Model!K47</x:f>
        <x:v>0</x:v>
      </x:c>
      <x:c r="L15" s="202" t="n">
        <x:f>Model!L48-Model!L45-Model!L47</x:f>
        <x:v>0</x:v>
      </x:c>
      <x:c r="M15" s="202" t="n">
        <x:f>Model!M48-Model!M45-Model!M47</x:f>
        <x:v>0</x:v>
      </x:c>
      <x:c r="N15" s="202" t="n">
        <x:f>Model!N48-Model!N45-Model!N47</x:f>
        <x:v>0</x:v>
      </x:c>
      <x:c r="O15" s="202" t="n">
        <x:f>Model!O48-Model!O45-Model!O47</x:f>
        <x:v>0</x:v>
      </x:c>
    </x:row>
    <x:row r="16" ht="22" customHeight="1">
      <x:c r="C16" s="84" t="str">
        <x:v>Seller holdback cannot be negative</x:v>
      </x:c>
      <x:c r="D16" s="202" t="n">
        <x:f>MIN(0,Model!D65)</x:f>
        <x:v>0</x:v>
      </x:c>
      <x:c r="E16" s="202" t="n">
        <x:f>MIN(0,Model!E65)</x:f>
        <x:v>0</x:v>
      </x:c>
      <x:c r="F16" s="202" t="n">
        <x:f>MIN(0,Model!F65)</x:f>
        <x:v>0</x:v>
      </x:c>
      <x:c r="G16" s="202" t="n">
        <x:f>MIN(0,Model!G65)</x:f>
        <x:v>0</x:v>
      </x:c>
      <x:c r="H16" s="202" t="n">
        <x:f>MIN(0,Model!H65)</x:f>
        <x:v>0</x:v>
      </x:c>
      <x:c r="I16" s="202" t="n">
        <x:f>MIN(0,Model!I65)</x:f>
        <x:v>0</x:v>
      </x:c>
      <x:c r="J16" s="202" t="n">
        <x:f>MIN(0,Model!J65)</x:f>
        <x:v>0</x:v>
      </x:c>
      <x:c r="K16" s="202" t="n">
        <x:f>MIN(0,Model!K65)</x:f>
        <x:v>0</x:v>
      </x:c>
      <x:c r="L16" s="202" t="n">
        <x:f>MIN(0,Model!L65)</x:f>
        <x:v>0</x:v>
      </x:c>
      <x:c r="M16" s="202" t="n">
        <x:f>MIN(0,Model!M65)</x:f>
        <x:v>0</x:v>
      </x:c>
      <x:c r="N16" s="202" t="n">
        <x:f>MIN(0,Model!N65)</x:f>
        <x:v>0</x:v>
      </x:c>
      <x:c r="O16" s="202" t="n">
        <x:f>MIN(0,Model!O65)</x:f>
        <x:v>0</x:v>
      </x:c>
    </x:row>
    <x:row r="17" ht="22" customHeight="1">
      <x:c r="C17" s="84" t="str">
        <x:v>External funding requirement</x:v>
      </x:c>
      <x:c r="D17" s="202" t="n">
        <x:f>Model!D101</x:f>
        <x:v>0</x:v>
      </x:c>
      <x:c r="E17" s="202" t="n">
        <x:f>Model!E101</x:f>
        <x:v>0</x:v>
      </x:c>
      <x:c r="F17" s="202" t="n">
        <x:f>Model!F101</x:f>
        <x:v>0</x:v>
      </x:c>
      <x:c r="G17" s="202" t="n">
        <x:f>Model!G101</x:f>
        <x:v>0</x:v>
      </x:c>
      <x:c r="H17" s="202" t="n">
        <x:f>Model!H101</x:f>
        <x:v>0</x:v>
      </x:c>
      <x:c r="I17" s="202" t="n">
        <x:f>Model!I101</x:f>
        <x:v>0</x:v>
      </x:c>
      <x:c r="J17" s="202" t="n">
        <x:f>Model!J101</x:f>
        <x:v>0</x:v>
      </x:c>
      <x:c r="K17" s="202" t="n">
        <x:f>Model!K101</x:f>
        <x:v>0</x:v>
      </x:c>
      <x:c r="L17" s="202" t="n">
        <x:f>Model!L101</x:f>
        <x:v>0</x:v>
      </x:c>
      <x:c r="M17" s="202" t="n">
        <x:f>Model!M101</x:f>
        <x:v>0</x:v>
      </x:c>
      <x:c r="N17" s="202" t="n">
        <x:f>Model!N101</x:f>
        <x:v>0</x:v>
      </x:c>
      <x:c r="O17" s="202" t="n">
        <x:f>Model!O101</x:f>
        <x:v>0</x:v>
      </x:c>
    </x:row>
    <x:row r="18" ht="22" customHeight="1">
      <x:c r="C18" s="69"/>
      <x:c r="D18" s="73"/>
      <x:c r="E18" s="73"/>
      <x:c r="F18" s="73"/>
      <x:c r="G18" s="73"/>
      <x:c r="H18" s="73"/>
      <x:c r="I18" s="73"/>
      <x:c r="J18" s="73"/>
      <x:c r="K18" s="73"/>
      <x:c r="L18" s="73"/>
      <x:c r="M18" s="73"/>
      <x:c r="N18" s="73"/>
      <x:c r="O18" s="73"/>
    </x:row>
    <x:row r="19" ht="22" customHeight="1">
      <x:c r="C19" s="69"/>
      <x:c r="D19" s="73"/>
      <x:c r="E19" s="73"/>
      <x:c r="F19" s="73"/>
      <x:c r="G19" s="73"/>
      <x:c r="H19" s="73"/>
      <x:c r="I19" s="73"/>
      <x:c r="J19" s="73"/>
      <x:c r="K19" s="73"/>
      <x:c r="L19" s="73"/>
      <x:c r="M19" s="73"/>
      <x:c r="N19" s="73"/>
      <x:c r="O19" s="73"/>
    </x:row>
    <x:row r="20" ht="22" customHeight="1">
      <x:c r="C20" s="84" t="str">
        <x:v>Differences use USD millions. Tolerance: $1. Missing or exhausted-liquidity outputs stay visible.</x:v>
      </x:c>
      <x:c r="D20" s="73"/>
      <x:c r="E20" s="73"/>
      <x:c r="F20" s="73"/>
      <x:c r="G20" s="73"/>
      <x:c r="H20" s="73"/>
      <x:c r="I20" s="73"/>
      <x:c r="J20" s="73"/>
      <x:c r="K20" s="73"/>
      <x:c r="L20" s="73"/>
      <x:c r="M20" s="73"/>
      <x:c r="N20" s="73"/>
      <x:c r="O20" s="73"/>
    </x:row>
    <x:row r="21" ht="22" customHeight="1">
      <x:c r="C21" s="69"/>
      <x:c r="D21" s="73"/>
      <x:c r="E21" s="73"/>
      <x:c r="F21" s="73"/>
      <x:c r="G21" s="73"/>
      <x:c r="H21" s="73"/>
      <x:c r="I21" s="73"/>
      <x:c r="J21" s="73"/>
      <x:c r="K21" s="73"/>
      <x:c r="L21" s="73"/>
      <x:c r="M21" s="73"/>
      <x:c r="N21" s="73"/>
      <x:c r="O21" s="73"/>
    </x:row>
    <x:row r="22" ht="22" customHeight="1">
      <x:c r="C22" s="84" t="str">
        <x:v>Historical source extraction: 136 independent checks, exact source-unit residuals zero.</x:v>
      </x:c>
      <x:c r="D22" s="73"/>
      <x:c r="E22" s="73"/>
      <x:c r="F22" s="73"/>
      <x:c r="G22" s="73"/>
      <x:c r="H22" s="73"/>
      <x:c r="I22" s="73"/>
      <x:c r="J22" s="73"/>
      <x:c r="K22" s="73"/>
      <x:c r="L22" s="73"/>
      <x:c r="M22" s="73"/>
      <x:c r="N22" s="73"/>
      <x:c r="O22" s="73"/>
    </x:row>
    <x:row r="23" ht="22" customHeight="1">
      <x:c r="C23" s="69"/>
      <x:c r="D23" s="73"/>
      <x:c r="E23" s="73"/>
      <x:c r="F23" s="73"/>
      <x:c r="G23" s="73"/>
      <x:c r="H23" s="73"/>
      <x:c r="I23" s="73"/>
      <x:c r="J23" s="73"/>
      <x:c r="K23" s="73"/>
      <x:c r="L23" s="73"/>
      <x:c r="M23" s="73"/>
      <x:c r="N23" s="73"/>
      <x:c r="O23" s="73"/>
    </x:row>
    <x:row r="24" ht="22" customHeight="1">
      <x:c r="C24" s="69"/>
      <x:c r="D24" s="73"/>
      <x:c r="E24" s="73"/>
      <x:c r="F24" s="73"/>
      <x:c r="G24" s="73"/>
      <x:c r="H24" s="73"/>
      <x:c r="I24" s="73"/>
      <x:c r="J24" s="73"/>
      <x:c r="K24" s="73"/>
      <x:c r="L24" s="73"/>
      <x:c r="M24" s="73"/>
      <x:c r="N24" s="73"/>
      <x:c r="O24" s="73"/>
    </x:row>
    <x:row r="25" ht="22" customHeight="1">
      <x:c r="C25" s="69"/>
      <x:c r="D25" s="73"/>
      <x:c r="E25" s="73"/>
      <x:c r="F25" s="73"/>
      <x:c r="G25" s="73"/>
      <x:c r="H25" s="73"/>
      <x:c r="I25" s="73"/>
      <x:c r="J25" s="73"/>
      <x:c r="K25" s="73"/>
      <x:c r="L25" s="73"/>
      <x:c r="M25" s="73"/>
      <x:c r="N25" s="73"/>
      <x:c r="O25" s="73"/>
    </x:row>
    <x:row r="26" ht="22" customHeight="1">
      <x:c r="C26" s="69"/>
      <x:c r="D26" s="73"/>
      <x:c r="E26" s="73"/>
      <x:c r="F26" s="73"/>
      <x:c r="G26" s="73"/>
      <x:c r="H26" s="73"/>
      <x:c r="I26" s="73"/>
      <x:c r="J26" s="73"/>
      <x:c r="K26" s="73"/>
      <x:c r="L26" s="73"/>
      <x:c r="M26" s="73"/>
      <x:c r="N26" s="73"/>
      <x:c r="O26" s="73"/>
    </x:row>
    <x:row r="27" ht="22" customHeight="1">
      <x:c r="C27" s="69"/>
      <x:c r="D27" s="73"/>
      <x:c r="E27" s="73"/>
      <x:c r="F27" s="73"/>
      <x:c r="G27" s="73"/>
      <x:c r="H27" s="73"/>
      <x:c r="I27" s="73"/>
      <x:c r="J27" s="73"/>
      <x:c r="K27" s="73"/>
      <x:c r="L27" s="73"/>
      <x:c r="M27" s="73"/>
      <x:c r="N27" s="73"/>
      <x:c r="O27" s="73"/>
    </x:row>
    <x:row r="28" ht="22" customHeight="1">
      <x:c r="C28" s="69"/>
      <x:c r="D28" s="73"/>
      <x:c r="E28" s="73"/>
      <x:c r="F28" s="73"/>
      <x:c r="G28" s="73"/>
      <x:c r="H28" s="73"/>
      <x:c r="I28" s="73"/>
      <x:c r="J28" s="73"/>
      <x:c r="K28" s="73"/>
      <x:c r="L28" s="73"/>
      <x:c r="M28" s="73"/>
      <x:c r="N28" s="73"/>
      <x:c r="O28" s="73"/>
    </x:row>
  </x:sheetData>
  <x:conditionalFormatting sqref="D8:O17">
    <x:cfRule type="expression" dxfId="0" priority="1">
      <x:formula>ABS(D8)&gt;0.000001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9070D4"/>
  </x:sheetPr>
  <x:sheetViews>
    <x:sheetView showGridLines="0" workbookViewId="0"/>
  </x:sheetViews>
  <x:sheetFormatPr defaultRowHeight="15"/>
  <x:cols>
    <x:col min="1" max="1" width="2" hidden="0" customWidth="1"/>
    <x:col min="2" max="2" width="2" hidden="0" customWidth="1"/>
    <x:col min="3" max="3" width="12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18" customHeight="1">
      <x:c r="C1" s="83" t="str">
        <x:v>@demetriusweb3</x:v>
      </x:c>
      <x:c r="D1" s="66"/>
      <x:c r="E1" s="66"/>
      <x:c r="F1" s="66"/>
      <x:c r="G1" s="66"/>
      <x:c r="H1" s="66"/>
      <x:c r="I1" s="66"/>
      <x:c r="J1" s="66"/>
      <x:c r="K1" s="66"/>
      <x:c r="L1" s="66"/>
    </x:row>
    <x:row r="2" ht="22" customHeight="1">
      <x:c r="C2" s="81" t="str">
        <x:v>Model basis and refresh</x:v>
      </x:c>
      <x:c r="D2" s="81"/>
      <x:c r="E2" s="81"/>
      <x:c r="F2" s="81"/>
      <x:c r="G2" s="81"/>
      <x:c r="H2" s="81"/>
      <x:c r="I2" s="81"/>
      <x:c r="J2" s="81"/>
      <x:c r="K2" s="81"/>
      <x:c r="L2" s="81"/>
    </x:row>
    <x:row r="3" ht="22" customHeight="1">
      <x:c r="C3" s="82"/>
      <x:c r="D3" s="82"/>
      <x:c r="E3" s="82"/>
      <x:c r="F3" s="82"/>
      <x:c r="G3" s="82"/>
      <x:c r="H3" s="82"/>
      <x:c r="I3" s="82"/>
      <x:c r="J3" s="82"/>
      <x:c r="K3" s="82"/>
      <x:c r="L3" s="82"/>
    </x:row>
    <x:row r="4" ht="22" customHeight="1">
      <x:c r="C4" s="69"/>
      <x:c r="D4" s="69"/>
      <x:c r="E4" s="69"/>
      <x:c r="F4" s="69"/>
      <x:c r="G4" s="69"/>
      <x:c r="H4" s="69"/>
      <x:c r="I4" s="69"/>
      <x:c r="J4" s="69"/>
      <x:c r="K4" s="69"/>
      <x:c r="L4" s="69"/>
    </x:row>
    <x:row r="5" ht="22" customHeight="1">
      <x:c r="C5" s="69"/>
      <x:c r="D5" s="69"/>
      <x:c r="E5" s="69"/>
      <x:c r="F5" s="69"/>
      <x:c r="G5" s="69"/>
      <x:c r="H5" s="69"/>
      <x:c r="I5" s="69"/>
      <x:c r="J5" s="69"/>
      <x:c r="K5" s="69"/>
      <x:c r="L5" s="69"/>
    </x:row>
    <x:row r="6" ht="22" customHeight="1">
      <x:c r="C6" s="84" t="str">
        <x:v>Scope: institutional analysis of Circle core stablecoin and disclosed service economics. Currency: USD millions.</x:v>
      </x:c>
      <x:c r="D6" s="69"/>
      <x:c r="E6" s="69"/>
      <x:c r="F6" s="69"/>
      <x:c r="G6" s="69"/>
      <x:c r="H6" s="69"/>
      <x:c r="I6" s="69"/>
      <x:c r="J6" s="69"/>
      <x:c r="K6" s="69"/>
      <x:c r="L6" s="69"/>
    </x:row>
    <x:row r="7" ht="22" customHeight="1">
      <x:c r="C7" s="69"/>
      <x:c r="D7" s="73"/>
      <x:c r="E7" s="73"/>
      <x:c r="F7" s="73"/>
      <x:c r="G7" s="73"/>
      <x:c r="H7" s="73"/>
      <x:c r="I7" s="73"/>
      <x:c r="J7" s="73"/>
      <x:c r="K7" s="73"/>
      <x:c r="L7" s="73"/>
    </x:row>
    <x:row r="8" ht="22" customHeight="1">
      <x:c r="C8" s="84" t="str">
        <x:v>Financial actuals: FY2024, FY2025, and H1/Q2 2026. Valuation reference: October 13, 2026 closing price $84.27.</x:v>
      </x:c>
      <x:c r="D8" s="73"/>
      <x:c r="E8" s="73"/>
      <x:c r="F8" s="73"/>
      <x:c r="G8" s="73"/>
      <x:c r="H8" s="73"/>
      <x:c r="I8" s="73"/>
      <x:c r="J8" s="73"/>
      <x:c r="K8" s="73"/>
      <x:c r="L8" s="73"/>
    </x:row>
    <x:row r="9" ht="22" customHeight="1">
      <x:c r="C9" s="69"/>
      <x:c r="D9" s="73"/>
      <x:c r="E9" s="73"/>
      <x:c r="F9" s="73"/>
      <x:c r="G9" s="73"/>
      <x:c r="H9" s="73"/>
      <x:c r="I9" s="73"/>
      <x:c r="J9" s="73"/>
      <x:c r="K9" s="73"/>
      <x:c r="L9" s="73"/>
    </x:row>
    <x:row r="10" ht="22" customHeight="1">
      <x:c r="C10" s="84" t="str">
        <x:v>Quarterly forecasts run Q3 2026 to Q2 2028, then H2 2028 and annual 2029 to 2031. Q3 2026 uses a model estimate.</x:v>
      </x:c>
      <x:c r="D10" s="73"/>
      <x:c r="E10" s="73"/>
      <x:c r="F10" s="73"/>
      <x:c r="G10" s="73"/>
      <x:c r="H10" s="73"/>
      <x:c r="I10" s="73"/>
      <x:c r="J10" s="73"/>
      <x:c r="K10" s="73"/>
      <x:c r="L10" s="73"/>
    </x:row>
    <x:row r="11" ht="22" customHeight="1">
      <x:c r="C11" s="69"/>
      <x:c r="D11" s="73"/>
      <x:c r="E11" s="73"/>
      <x:c r="F11" s="73"/>
      <x:c r="G11" s="73"/>
      <x:c r="H11" s="73"/>
      <x:c r="I11" s="73"/>
      <x:c r="J11" s="73"/>
      <x:c r="K11" s="73"/>
      <x:c r="L11" s="73"/>
    </x:row>
    <x:row r="12" ht="22" customHeight="1">
      <x:c r="C12" s="84" t="str">
        <x:v>One build owns the operating forecast. Statements links it. Capital owns asset cohorts and transaction dates.</x:v>
      </x:c>
      <x:c r="D12" s="73"/>
      <x:c r="E12" s="73"/>
      <x:c r="F12" s="73"/>
      <x:c r="G12" s="73"/>
      <x:c r="H12" s="73"/>
      <x:c r="I12" s="73"/>
      <x:c r="J12" s="73"/>
      <x:c r="K12" s="73"/>
      <x:c r="L12" s="73"/>
    </x:row>
    <x:row r="13" ht="22" customHeight="1">
      <x:c r="C13" s="69"/>
      <x:c r="D13" s="73"/>
      <x:c r="E13" s="73"/>
      <x:c r="F13" s="73"/>
      <x:c r="G13" s="73"/>
      <x:c r="H13" s="73"/>
      <x:c r="I13" s="73"/>
      <x:c r="J13" s="73"/>
      <x:c r="K13" s="73"/>
      <x:c r="L13" s="73"/>
    </x:row>
    <x:row r="14" ht="22" customHeight="1">
      <x:c r="C14" s="84" t="str">
        <x:v>Assumptions D4 selects 1 Downside, 2 Base, or 3 Upside. Active driver rows feed the same build.</x:v>
      </x:c>
      <x:c r="D14" s="73"/>
      <x:c r="E14" s="73"/>
      <x:c r="F14" s="73"/>
      <x:c r="G14" s="73"/>
      <x:c r="H14" s="73"/>
      <x:c r="I14" s="73"/>
      <x:c r="J14" s="73"/>
      <x:c r="K14" s="73"/>
      <x:c r="L14" s="73"/>
    </x:row>
    <x:row r="15" ht="22" customHeight="1">
      <x:c r="C15" s="69"/>
      <x:c r="D15" s="73"/>
      <x:c r="E15" s="73"/>
      <x:c r="F15" s="73"/>
      <x:c r="G15" s="73"/>
      <x:c r="H15" s="73"/>
      <x:c r="I15" s="73"/>
      <x:c r="J15" s="73"/>
      <x:c r="K15" s="73"/>
      <x:c r="L15" s="73"/>
    </x:row>
    <x:row r="16" ht="22" customHeight="1">
      <x:c r="C16" s="84" t="str">
        <x:v>Selected forecast-driver blanks produce a visible unavailable result. Source controls retain their stated units.</x:v>
      </x:c>
      <x:c r="D16" s="73"/>
      <x:c r="E16" s="73"/>
      <x:c r="F16" s="73"/>
      <x:c r="G16" s="73"/>
      <x:c r="H16" s="73"/>
      <x:c r="I16" s="73"/>
      <x:c r="J16" s="73"/>
      <x:c r="K16" s="73"/>
      <x:c r="L16" s="73"/>
    </x:row>
    <x:row r="17" ht="22" customHeight="1">
      <x:c r="C17" s="69"/>
      <x:c r="D17" s="73"/>
      <x:c r="E17" s="73"/>
      <x:c r="F17" s="73"/>
      <x:c r="G17" s="73"/>
      <x:c r="H17" s="73"/>
      <x:c r="I17" s="73"/>
      <x:c r="J17" s="73"/>
      <x:c r="K17" s="73"/>
      <x:c r="L17" s="73"/>
    </x:row>
    <x:row r="18" ht="22" customHeight="1">
      <x:c r="C18" s="84" t="str">
        <x:v>Default taxes are 25% on positive income. New tax-loss assets and refunds are not assumed.</x:v>
      </x:c>
      <x:c r="D18" s="73"/>
      <x:c r="E18" s="73"/>
      <x:c r="F18" s="73"/>
      <x:c r="G18" s="73"/>
      <x:c r="H18" s="73"/>
      <x:c r="I18" s="73"/>
      <x:c r="J18" s="73"/>
      <x:c r="K18" s="73"/>
      <x:c r="L18" s="73"/>
    </x:row>
    <x:row r="19" ht="22" customHeight="1">
      <x:c r="C19" s="69"/>
      <x:c r="D19" s="73"/>
      <x:c r="E19" s="73"/>
      <x:c r="F19" s="73"/>
      <x:c r="G19" s="73"/>
      <x:c r="H19" s="73"/>
      <x:c r="I19" s="73"/>
      <x:c r="J19" s="73"/>
      <x:c r="K19" s="73"/>
      <x:c r="L19" s="73"/>
    </x:row>
    <x:row r="20" ht="22" customHeight="1">
      <x:c r="C20" s="84" t="str">
        <x:v>Revenue retention uses an aggregate calibration; the contractual distributor percentage remains undisclosed.</x:v>
      </x:c>
      <x:c r="D20" s="73"/>
      <x:c r="E20" s="73"/>
      <x:c r="F20" s="73"/>
      <x:c r="G20" s="73"/>
      <x:c r="H20" s="73"/>
      <x:c r="I20" s="73"/>
      <x:c r="J20" s="73"/>
      <x:c r="K20" s="73"/>
      <x:c r="L20" s="73"/>
    </x:row>
    <x:row r="21" ht="22" customHeight="1">
      <x:c r="C21" s="69"/>
      <x:c r="D21" s="73"/>
      <x:c r="E21" s="73"/>
      <x:c r="F21" s="73"/>
      <x:c r="G21" s="73"/>
      <x:c r="H21" s="73"/>
      <x:c r="I21" s="73"/>
      <x:c r="J21" s="73"/>
      <x:c r="K21" s="73"/>
      <x:c r="L21" s="73"/>
    </x:row>
    <x:row r="22" ht="22" customHeight="1">
      <x:c r="C22" s="84" t="str">
        <x:v>Core DCF excludes bank interest and own-USDC retained yield; eligible corporate principal is valued separately.</x:v>
      </x:c>
      <x:c r="D22" s="73"/>
      <x:c r="E22" s="73"/>
      <x:c r="F22" s="73"/>
      <x:c r="G22" s="73"/>
      <x:c r="H22" s="73"/>
      <x:c r="I22" s="73"/>
      <x:c r="J22" s="73"/>
      <x:c r="K22" s="73"/>
      <x:c r="L22" s="73"/>
    </x:row>
    <x:row r="23" ht="22" customHeight="1">
      <x:c r="C23" s="69"/>
      <x:c r="D23" s="73"/>
      <x:c r="E23" s="73"/>
      <x:c r="F23" s="73"/>
      <x:c r="G23" s="73"/>
      <x:c r="H23" s="73"/>
      <x:c r="I23" s="73"/>
      <x:c r="J23" s="73"/>
      <x:c r="K23" s="73"/>
      <x:c r="L23" s="73"/>
    </x:row>
    <x:row r="24" ht="22" customHeight="1">
      <x:c r="C24" s="84" t="str">
        <x:v>Existing award recognition is added back because existing claims enter the denominator; new compensation remains a cost.</x:v>
      </x:c>
      <x:c r="D24" s="73"/>
      <x:c r="E24" s="73"/>
      <x:c r="F24" s="73"/>
      <x:c r="G24" s="73"/>
      <x:c r="H24" s="73"/>
      <x:c r="I24" s="73"/>
      <x:c r="J24" s="73"/>
      <x:c r="K24" s="73"/>
      <x:c r="L24" s="73"/>
    </x:row>
    <x:row r="25" ht="22" customHeight="1">
      <x:c r="C25" s="69"/>
      <x:c r="D25" s="73"/>
      <x:c r="E25" s="73"/>
      <x:c r="F25" s="73"/>
      <x:c r="G25" s="73"/>
      <x:c r="H25" s="73"/>
      <x:c r="I25" s="73"/>
      <x:c r="J25" s="73"/>
      <x:c r="K25" s="73"/>
      <x:c r="L25" s="73"/>
    </x:row>
    <x:row r="26" ht="22" customHeight="1">
      <x:c r="C26" s="84" t="str">
        <x:v>New capitalized award cost is charged as economic reinvestment and enters the physical share/withholding schedules.</x:v>
      </x:c>
      <x:c r="D26" s="73"/>
      <x:c r="E26" s="73"/>
      <x:c r="F26" s="73"/>
      <x:c r="G26" s="73"/>
      <x:c r="H26" s="73"/>
      <x:c r="I26" s="73"/>
      <x:c r="J26" s="73"/>
      <x:c r="K26" s="73"/>
      <x:c r="L26" s="73"/>
    </x:row>
    <x:row r="27" ht="22" customHeight="1">
      <x:c r="C27" s="69"/>
      <x:c r="D27" s="73"/>
      <x:c r="E27" s="73"/>
      <x:c r="F27" s="73"/>
      <x:c r="G27" s="73"/>
      <x:c r="H27" s="73"/>
      <x:c r="I27" s="73"/>
      <x:c r="J27" s="73"/>
      <x:c r="K27" s="73"/>
      <x:c r="L27" s="73"/>
    </x:row>
    <x:row r="28" ht="22" customHeight="1">
      <x:c r="C28" s="84" t="str">
        <x:v>Tazapay: conditional June 30, 2027 close, $400M stock consideration, constant $84.27 VWAP, no indemnity claims.</x:v>
      </x:c>
      <x:c r="D28" s="73"/>
      <x:c r="E28" s="73"/>
      <x:c r="F28" s="73"/>
      <x:c r="G28" s="73"/>
      <x:c r="H28" s="73"/>
      <x:c r="I28" s="73"/>
      <x:c r="J28" s="73"/>
      <x:c r="K28" s="73"/>
      <x:c r="L28" s="73"/>
    </x:row>
    <x:row r="29" ht="22" customHeight="1">
      <x:c r="C29" s="69"/>
      <x:c r="D29" s="73"/>
      <x:c r="E29" s="73"/>
      <x:c r="F29" s="73"/>
      <x:c r="G29" s="73"/>
      <x:c r="H29" s="73"/>
      <x:c r="I29" s="73"/>
      <x:c r="J29" s="73"/>
      <x:c r="K29" s="73"/>
      <x:c r="L29" s="73"/>
    </x:row>
    <x:row r="30" ht="22" customHeight="1">
      <x:c r="C30" s="84" t="str">
        <x:v>Acquired net assets are an unallocated pool. No undisclosed target earnings or purchase-price allocation is asserted.</x:v>
      </x:c>
      <x:c r="D30" s="73"/>
      <x:c r="E30" s="73"/>
      <x:c r="F30" s="73"/>
      <x:c r="G30" s="73"/>
      <x:c r="H30" s="73"/>
      <x:c r="I30" s="73"/>
      <x:c r="J30" s="73"/>
      <x:c r="K30" s="73"/>
      <x:c r="L30" s="73"/>
    </x:row>
    <x:row r="31" ht="22" customHeight="1">
      <x:c r="C31" s="69"/>
      <x:c r="D31" s="73"/>
      <x:c r="E31" s="73"/>
      <x:c r="F31" s="73"/>
      <x:c r="G31" s="73"/>
      <x:c r="H31" s="73"/>
      <x:c r="I31" s="73"/>
      <x:c r="J31" s="73"/>
      <x:c r="K31" s="73"/>
      <x:c r="L31" s="73"/>
    </x:row>
    <x:row r="32" ht="22" customHeight="1">
      <x:c r="C32" s="84" t="str">
        <x:v>$25M employee incentive is a separate economic claim. Expense assumes 48 months; eight vesting tranches follow 27 months.</x:v>
      </x:c>
      <x:c r="D32" s="73"/>
      <x:c r="E32" s="73"/>
      <x:c r="F32" s="73"/>
      <x:c r="G32" s="73"/>
      <x:c r="H32" s="73"/>
      <x:c r="I32" s="73"/>
      <x:c r="J32" s="73"/>
      <x:c r="K32" s="73"/>
      <x:c r="L32" s="73"/>
    </x:row>
    <x:row r="33" ht="22" customHeight="1">
      <x:c r="C33" s="69"/>
      <x:c r="D33" s="73"/>
      <x:c r="E33" s="73"/>
      <x:c r="F33" s="73"/>
      <x:c r="G33" s="73"/>
      <x:c r="H33" s="73"/>
      <x:c r="I33" s="73"/>
      <x:c r="J33" s="73"/>
      <x:c r="K33" s="73"/>
      <x:c r="L33" s="73"/>
    </x:row>
    <x:row r="34" ht="22" customHeight="1">
      <x:c r="C34" s="84" t="str">
        <x:v>ARC: default core-only case repays $222M cash and clears the $20.2M receivable and $242.2M liability in Q2 2028.</x:v>
      </x:c>
      <x:c r="D34" s="73"/>
      <x:c r="E34" s="73"/>
      <x:c r="F34" s="73"/>
      <x:c r="G34" s="73"/>
      <x:c r="H34" s="73"/>
      <x:c r="I34" s="73"/>
      <x:c r="J34" s="73"/>
      <x:c r="K34" s="73"/>
      <x:c r="L34" s="73"/>
    </x:row>
    <x:row r="35" ht="22" customHeight="1">
      <x:c r="C35" s="69"/>
      <x:c r="D35" s="73"/>
      <x:c r="E35" s="73"/>
      <x:c r="F35" s="73"/>
      <x:c r="G35" s="73"/>
      <x:c r="H35" s="73"/>
      <x:c r="I35" s="73"/>
      <x:c r="J35" s="73"/>
      <x:c r="K35" s="73"/>
      <x:c r="L35" s="73"/>
    </x:row>
    <x:row r="36" ht="22" customHeight="1">
      <x:c r="C36" s="84" t="str">
        <x:v>The model assumes repayment if obligations remain unmet.</x:v>
      </x:c>
      <x:c r="D36" s="73"/>
      <x:c r="E36" s="73"/>
      <x:c r="F36" s="73"/>
      <x:c r="G36" s="73"/>
      <x:c r="H36" s="73"/>
      <x:c r="I36" s="73"/>
      <x:c r="J36" s="73"/>
      <x:c r="K36" s="73"/>
      <x:c r="L36" s="73"/>
    </x:row>
    <x:row r="37" ht="22" customHeight="1">
      <x:c r="C37" s="69"/>
      <x:c r="D37" s="73"/>
      <x:c r="E37" s="73"/>
      <x:c r="F37" s="73"/>
      <x:c r="G37" s="73"/>
      <x:c r="H37" s="73"/>
      <x:c r="I37" s="73"/>
      <x:c r="J37" s="73"/>
      <x:c r="K37" s="73"/>
      <x:c r="L37" s="73"/>
    </x:row>
    <x:row r="38" ht="22" customHeight="1">
      <x:c r="C38" s="84" t="str">
        <x:v>If bank cash is depleted, own USDC is redeemed internally. This does not spend customer reserves or add outside financing.</x:v>
      </x:c>
      <x:c r="D38" s="73"/>
      <x:c r="E38" s="73"/>
      <x:c r="F38" s="73"/>
      <x:c r="G38" s="73"/>
      <x:c r="H38" s="73"/>
      <x:c r="I38" s="73"/>
      <x:c r="J38" s="73"/>
      <x:c r="K38" s="73"/>
      <x:c r="L38" s="73"/>
    </x:row>
    <x:row r="39" ht="22" customHeight="1">
      <x:c r="C39" s="69"/>
      <x:c r="D39" s="73"/>
      <x:c r="E39" s="73"/>
      <x:c r="F39" s="73"/>
      <x:c r="G39" s="73"/>
      <x:c r="H39" s="73"/>
      <x:c r="I39" s="73"/>
      <x:c r="J39" s="73"/>
      <x:c r="K39" s="73"/>
      <x:c r="L39" s="73"/>
    </x:row>
    <x:row r="40" ht="22" customHeight="1">
      <x:c r="C40" s="84" t="str">
        <x:v>The June outstanding shares and remaining conditional awards form the benchmark, with financing and acquisition claims.</x:v>
      </x:c>
      <x:c r="D40" s="73"/>
      <x:c r="E40" s="73"/>
      <x:c r="F40" s="73"/>
      <x:c r="G40" s="73"/>
      <x:c r="H40" s="73"/>
      <x:c r="I40" s="73"/>
      <x:c r="J40" s="73"/>
      <x:c r="K40" s="73"/>
      <x:c r="L40" s="73"/>
    </x:row>
    <x:row r="41" ht="22" customHeight="1">
      <x:c r="C41" s="69"/>
      <x:c r="D41" s="73"/>
      <x:c r="E41" s="73"/>
      <x:c r="F41" s="73"/>
      <x:c r="G41" s="73"/>
      <x:c r="H41" s="73"/>
      <x:c r="I41" s="73"/>
      <x:c r="J41" s="73"/>
      <x:c r="K41" s="73"/>
      <x:c r="L41" s="73"/>
    </x:row>
    <x:row r="42" ht="22" customHeight="1">
      <x:c r="C42" s="84" t="str">
        <x:v>July cover shares are used once in forecast EPS; post-July vesting is estimated rather than falsely reported.</x:v>
      </x:c>
      <x:c r="D42" s="73"/>
      <x:c r="E42" s="73"/>
      <x:c r="F42" s="73"/>
      <x:c r="G42" s="73"/>
      <x:c r="H42" s="73"/>
      <x:c r="I42" s="73"/>
      <x:c r="J42" s="73"/>
      <x:c r="K42" s="73"/>
      <x:c r="L42" s="73"/>
    </x:row>
    <x:row r="43" ht="22" customHeight="1">
      <x:c r="C43" s="69"/>
      <x:c r="D43" s="73"/>
      <x:c r="E43" s="73"/>
      <x:c r="F43" s="73"/>
      <x:c r="G43" s="73"/>
      <x:c r="H43" s="73"/>
      <x:c r="I43" s="73"/>
      <x:c r="J43" s="73"/>
      <x:c r="K43" s="73"/>
      <x:c r="L43" s="73"/>
    </x:row>
    <x:row r="44" ht="22" customHeight="1">
      <x:c r="C44" s="84" t="str">
        <x:v>Forecast EPS divides income by mean opening/closing modeled shares. This approximates period weighting.</x:v>
      </x:c>
      <x:c r="D44" s="73"/>
      <x:c r="E44" s="73"/>
      <x:c r="F44" s="73"/>
      <x:c r="G44" s="73"/>
      <x:c r="H44" s="73"/>
      <x:c r="I44" s="73"/>
      <x:c r="J44" s="73"/>
      <x:c r="K44" s="73"/>
      <x:c r="L44" s="73"/>
    </x:row>
    <x:row r="45" ht="22" customHeight="1">
      <x:c r="C45" s="69"/>
      <x:c r="D45" s="73"/>
      <x:c r="E45" s="73"/>
      <x:c r="F45" s="73"/>
      <x:c r="G45" s="73"/>
      <x:c r="H45" s="73"/>
      <x:c r="I45" s="73"/>
      <x:c r="J45" s="73"/>
      <x:c r="K45" s="73"/>
      <x:c r="L45" s="73"/>
    </x:row>
    <x:row r="46" ht="22" customHeight="1">
      <x:c r="C46" s="84" t="str">
        <x:v>Working capital separates corporate operations, reserve interest, distribution accruals, and paired customer redemptions.</x:v>
      </x:c>
      <x:c r="D46" s="73"/>
      <x:c r="E46" s="73"/>
      <x:c r="F46" s="73"/>
      <x:c r="G46" s="73"/>
      <x:c r="H46" s="73"/>
      <x:c r="I46" s="73"/>
      <x:c r="J46" s="73"/>
      <x:c r="K46" s="73"/>
      <x:c r="L46" s="73"/>
    </x:row>
    <x:row r="47" ht="22" customHeight="1">
      <x:c r="C47" s="69"/>
      <x:c r="D47" s="73"/>
      <x:c r="E47" s="73"/>
      <x:c r="F47" s="73"/>
      <x:c r="G47" s="73"/>
      <x:c r="H47" s="73"/>
      <x:c r="I47" s="73"/>
      <x:c r="J47" s="73"/>
      <x:c r="K47" s="73"/>
      <x:c r="L47" s="73"/>
    </x:row>
    <x:row r="48" ht="22" customHeight="1">
      <x:c r="C48" s="84" t="str">
        <x:v>Own-reserve receivables and payables use an inferred proportional allocation; their net value enters the equity bridge.</x:v>
      </x:c>
      <x:c r="D48" s="73"/>
      <x:c r="E48" s="73"/>
      <x:c r="F48" s="73"/>
      <x:c r="G48" s="73"/>
      <x:c r="H48" s="73"/>
      <x:c r="I48" s="73"/>
      <x:c r="J48" s="73"/>
      <x:c r="K48" s="73"/>
      <x:c r="L48" s="73"/>
    </x:row>
    <x:row r="49" ht="22" customHeight="1">
      <x:c r="C49" s="69"/>
      <x:c r="D49" s="73"/>
      <x:c r="E49" s="73"/>
      <x:c r="F49" s="73"/>
      <x:c r="G49" s="73"/>
      <x:c r="H49" s="73"/>
      <x:c r="I49" s="73"/>
      <x:c r="J49" s="73"/>
      <x:c r="K49" s="73"/>
      <x:c r="L49" s="73"/>
    </x:row>
    <x:row r="50" ht="22" customHeight="1">
      <x:c r="C50" s="84" t="str">
        <x:v>Existing amortization is disclosed through 2030. The 2031 allocation of $1.663M is an analyst assumption.</x:v>
      </x:c>
      <x:c r="D50" s="73"/>
      <x:c r="E50" s="73"/>
      <x:c r="F50" s="73"/>
      <x:c r="G50" s="73"/>
      <x:c r="H50" s="73"/>
      <x:c r="I50" s="73"/>
      <x:c r="J50" s="73"/>
      <x:c r="K50" s="73"/>
      <x:c r="L50" s="73"/>
    </x:row>
    <x:row r="51" ht="22" customHeight="1">
      <x:c r="C51" s="69"/>
      <x:c r="D51" s="73"/>
      <x:c r="E51" s="73"/>
      <x:c r="F51" s="73"/>
      <x:c r="G51" s="73"/>
      <x:c r="H51" s="73"/>
      <x:c r="I51" s="73"/>
      <x:c r="J51" s="73"/>
      <x:c r="K51" s="73"/>
      <x:c r="L51" s="73"/>
    </x:row>
    <x:row r="52" ht="22" customHeight="1">
      <x:c r="C52" s="84" t="str">
        <x:v>Valuation E6 and E7 drive the native two-variable sensitivity. The table recalculates the actual forecast output.</x:v>
      </x:c>
      <x:c r="D52" s="73"/>
      <x:c r="E52" s="73"/>
      <x:c r="F52" s="73"/>
      <x:c r="G52" s="73"/>
      <x:c r="H52" s="73"/>
      <x:c r="I52" s="73"/>
      <x:c r="J52" s="73"/>
      <x:c r="K52" s="73"/>
      <x:c r="L52" s="73"/>
    </x:row>
    <x:row r="53" ht="22" customHeight="1">
      <x:c r="C53" s="69"/>
      <x:c r="D53" s="73"/>
      <x:c r="E53" s="73"/>
      <x:c r="F53" s="73"/>
      <x:c r="G53" s="73"/>
      <x:c r="H53" s="73"/>
      <x:c r="I53" s="73"/>
      <x:c r="J53" s="73"/>
      <x:c r="K53" s="73"/>
      <x:c r="L53" s="73"/>
    </x:row>
    <x:row r="54" ht="22" customHeight="1">
      <x:c r="C54" s="84" t="str">
        <x:v>Reverse DCF: type 30 in Valuation E10 and confirm 30.00% is displayed, then Goal Seek E16 to E8 value by changing E10.</x:v>
      </x:c>
      <x:c r="D54" s="73"/>
      <x:c r="E54" s="73"/>
      <x:c r="F54" s="73"/>
      <x:c r="G54" s="73"/>
      <x:c r="H54" s="73"/>
      <x:c r="I54" s="73"/>
      <x:c r="J54" s="73"/>
      <x:c r="K54" s="73"/>
      <x:c r="L54" s="73"/>
    </x:row>
    <x:row r="55" ht="22" customHeight="1">
      <x:c r="C55" s="69"/>
      <x:c r="D55" s="73"/>
      <x:c r="E55" s="73"/>
      <x:c r="F55" s="73"/>
      <x:c r="G55" s="73"/>
      <x:c r="H55" s="73"/>
      <x:c r="I55" s="73"/>
      <x:c r="J55" s="73"/>
      <x:c r="K55" s="73"/>
      <x:c r="L55" s="73"/>
    </x:row>
    <x:row r="56" ht="22" customHeight="1">
      <x:c r="C56" s="84" t="str">
        <x:v>Use Base for the published reverse result. Enter =-1 in E10 to restore case paths.</x:v>
      </x:c>
      <x:c r="D56" s="73"/>
      <x:c r="E56" s="73"/>
      <x:c r="F56" s="73"/>
      <x:c r="G56" s="73"/>
      <x:c r="H56" s="73"/>
      <x:c r="I56" s="73"/>
      <x:c r="J56" s="73"/>
      <x:c r="K56" s="73"/>
      <x:c r="L56" s="73"/>
    </x:row>
    <x:row r="57" ht="22" customHeight="1">
      <x:c r="C57" s="69"/>
      <x:c r="D57" s="73"/>
      <x:c r="E57" s="73"/>
      <x:c r="F57" s="73"/>
      <x:c r="G57" s="73"/>
      <x:c r="H57" s="73"/>
      <x:c r="I57" s="73"/>
      <x:c r="J57" s="73"/>
      <x:c r="K57" s="73"/>
      <x:c r="L57" s="73"/>
    </x:row>
    <x:row r="58" ht="22" customHeight="1">
      <x:c r="C58" s="84" t="str">
        <x:v>The locked report root in E18 is a dated snapshot. Recompute Goal Seek after changing assumptions.</x:v>
      </x:c>
      <x:c r="D58" s="73"/>
      <x:c r="E58" s="73"/>
      <x:c r="F58" s="73"/>
      <x:c r="G58" s="73"/>
      <x:c r="H58" s="73"/>
      <x:c r="I58" s="73"/>
      <x:c r="J58" s="73"/>
      <x:c r="K58" s="73"/>
      <x:c r="L58" s="73"/>
    </x:row>
    <x:row r="59">
      <x:c r="C59" s="66"/>
      <x:c r="D59" s="66"/>
      <x:c r="E59" s="66"/>
      <x:c r="F59" s="66"/>
      <x:c r="G59" s="66"/>
      <x:c r="H59" s="66"/>
      <x:c r="I59" s="66"/>
      <x:c r="J59" s="66"/>
      <x:c r="K59" s="66"/>
      <x:c r="L59" s="66"/>
    </x:row>
    <x:row r="60">
      <x:c r="C60" s="66" t="str">
        <x:v>Local refresh: run src/model.py, src/build_workbook.mjs, src/render_figures.py, and src/render_report.py.</x:v>
      </x:c>
      <x:c r="D60" s="66"/>
      <x:c r="E60" s="66"/>
      <x:c r="F60" s="66"/>
      <x:c r="G60" s="66"/>
      <x:c r="H60" s="66"/>
      <x:c r="I60" s="66"/>
      <x:c r="J60" s="66"/>
      <x:c r="K60" s="66"/>
      <x:c r="L60" s="66"/>
    </x:row>
    <x:row r="61">
      <x:c r="C61" s="66"/>
      <x:c r="D61" s="66"/>
      <x:c r="E61" s="66"/>
      <x:c r="F61" s="66"/>
      <x:c r="G61" s="66"/>
      <x:c r="H61" s="66"/>
      <x:c r="I61" s="66"/>
      <x:c r="J61" s="66"/>
      <x:c r="K61" s="66"/>
      <x:c r="L61" s="66"/>
    </x:row>
    <x:row r="62">
      <x:c r="C62" s="66" t="str">
        <x:v>Run tests and writing/source checks again after substantive edits. Reopening alone does not verify calculations.</x:v>
      </x:c>
      <x:c r="D62" s="66"/>
      <x:c r="E62" s="66"/>
      <x:c r="F62" s="66"/>
      <x:c r="G62" s="66"/>
      <x:c r="H62" s="66"/>
      <x:c r="I62" s="66"/>
      <x:c r="J62" s="66"/>
      <x:c r="K62" s="66"/>
      <x:c r="L62" s="66"/>
    </x:row>
    <x:row r="64" ht="23" customHeight="1">
      <x:c r="C64" s="205" t="str">
        <x:v>Default required return links risk-free rate + beta x ERP. Valuation E6 remains the explicit override.</x:v>
      </x:c>
      <x:c r="D64" s="205"/>
      <x:c r="E64" s="205"/>
      <x:c r="F64" s="205"/>
      <x:c r="G64" s="205"/>
      <x:c r="H64" s="205"/>
      <x:c r="I64" s="205"/>
      <x:c r="J64" s="205"/>
      <x:c r="K64" s="205"/>
    </x:row>
    <x:row r="65" ht="23" customHeight="1">
      <x:c r="C65" s="205"/>
      <x:c r="D65" s="205"/>
      <x:c r="E65" s="205"/>
      <x:c r="F65" s="205"/>
      <x:c r="G65" s="205"/>
      <x:c r="H65" s="205"/>
      <x:c r="I65" s="205"/>
      <x:c r="J65" s="205"/>
      <x:c r="K65" s="205"/>
    </x:row>
    <x:row r="66" ht="23" customHeight="1">
      <x:c r="C66" s="205" t="str">
        <x:v>Terminal FCF is 2031 economic FCF x (1+g). It does not reset reinvestment for mature growth.</x:v>
      </x:c>
      <x:c r="D66" s="205"/>
      <x:c r="E66" s="205"/>
      <x:c r="F66" s="205"/>
      <x:c r="G66" s="205"/>
      <x:c r="H66" s="205"/>
      <x:c r="I66" s="205"/>
      <x:c r="J66" s="205"/>
      <x:c r="K66" s="205"/>
    </x:row>
    <x:row r="67" ht="23" customHeight="1">
      <x:c r="C67" s="205"/>
      <x:c r="D67" s="205"/>
      <x:c r="E67" s="205"/>
      <x:c r="F67" s="205"/>
      <x:c r="G67" s="205"/>
      <x:c r="H67" s="205"/>
      <x:c r="I67" s="205"/>
      <x:c r="J67" s="205"/>
      <x:c r="K67" s="205"/>
    </x:row>
    <x:row r="68" ht="23" customHeight="1">
      <x:c r="C68" s="205" t="str">
        <x:v>A 2032 cohort roll at 3% operating growth gives illustrative Base $29.86 and Upside $84.72 per benchmark claim.</x:v>
      </x:c>
      <x:c r="D68" s="205"/>
      <x:c r="E68" s="205"/>
      <x:c r="F68" s="205"/>
      <x:c r="G68" s="205"/>
      <x:c r="H68" s="205"/>
      <x:c r="I68" s="205"/>
      <x:c r="J68" s="205"/>
      <x:c r="K68" s="205"/>
    </x:row>
    <x:row r="69" ht="23" customHeight="1">
      <x:c r="C69" s="205"/>
      <x:c r="D69" s="205"/>
      <x:c r="E69" s="205"/>
      <x:c r="F69" s="205"/>
      <x:c r="G69" s="205"/>
      <x:c r="H69" s="205"/>
      <x:c r="I69" s="205"/>
      <x:c r="J69" s="205"/>
      <x:c r="K69" s="205"/>
    </x:row>
    <x:row r="70" ht="23" customHeight="1">
      <x:c r="C70" s="205" t="str">
        <x:v>Claims use reference-price treasury dilution and gross June RSUs. October awards remain unobserved.</x:v>
      </x:c>
      <x:c r="D70" s="205"/>
      <x:c r="E70" s="205"/>
      <x:c r="F70" s="205"/>
      <x:c r="G70" s="205"/>
      <x:c r="H70" s="205"/>
      <x:c r="I70" s="205"/>
      <x:c r="J70" s="205"/>
      <x:c r="K70" s="205"/>
    </x:row>
    <x:row r="71" ht="23" customHeight="1">
      <x:c r="C71" s="205"/>
      <x:c r="D71" s="205"/>
      <x:c r="E71" s="205"/>
      <x:c r="F71" s="205"/>
      <x:c r="G71" s="205"/>
      <x:c r="H71" s="205"/>
      <x:c r="I71" s="205"/>
      <x:c r="J71" s="205"/>
      <x:c r="K71" s="205"/>
    </x:row>
    <x:row r="72" ht="23" customHeight="1">
      <x:c r="C72" s="205" t="str">
        <x:v>The expense/capital split of $443.6M remaining award cost is inferred from historical capitalization.</x:v>
      </x:c>
      <x:c r="D72" s="205"/>
      <x:c r="E72" s="205"/>
      <x:c r="F72" s="205"/>
      <x:c r="G72" s="205"/>
      <x:c r="H72" s="205"/>
      <x:c r="I72" s="205"/>
      <x:c r="J72" s="205"/>
      <x:c r="K72" s="205"/>
    </x:row>
    <x:row r="73" ht="23" customHeight="1">
      <x:c r="C73" s="205"/>
      <x:c r="D73" s="205"/>
      <x:c r="E73" s="205"/>
      <x:c r="F73" s="205"/>
      <x:c r="G73" s="205"/>
      <x:c r="H73" s="205"/>
      <x:c r="I73" s="205"/>
      <x:c r="J73" s="205"/>
      <x:c r="K73" s="205"/>
    </x:row>
    <x:row r="74" ht="23" customHeight="1">
      <x:c r="C74" s="205" t="str">
        <x:v>Gross benchmark claims and fixed-price cash withholding are separate conventions; net-share/cash value differs.</x:v>
      </x:c>
      <x:c r="D74" s="205"/>
      <x:c r="E74" s="205"/>
      <x:c r="F74" s="205"/>
      <x:c r="G74" s="205"/>
      <x:c r="H74" s="205"/>
      <x:c r="I74" s="205"/>
      <x:c r="J74" s="205"/>
      <x:c r="K74" s="205"/>
    </x:row>
    <x:row r="75" ht="23" customHeight="1">
      <x:c r="C75" s="205"/>
      <x:c r="D75" s="205"/>
      <x:c r="E75" s="205"/>
      <x:c r="F75" s="205"/>
      <x:c r="G75" s="205"/>
      <x:c r="H75" s="205"/>
      <x:c r="I75" s="205"/>
      <x:c r="J75" s="205"/>
      <x:c r="K75" s="205"/>
    </x:row>
    <x:row r="76" ht="23" customHeight="1">
      <x:c r="C76" s="205" t="str">
        <x:v>Digital assets of $106.539M receive zero value in this benchmark. Carrying value would add $0.38 per claim.</x:v>
      </x:c>
      <x:c r="D76" s="205"/>
      <x:c r="E76" s="205"/>
      <x:c r="F76" s="205"/>
      <x:c r="G76" s="205"/>
      <x:c r="H76" s="205"/>
      <x:c r="I76" s="205"/>
      <x:c r="J76" s="205"/>
      <x:c r="K76" s="205"/>
    </x:row>
    <x:row r="77" ht="23" customHeight="1">
      <x:c r="C77" s="205"/>
      <x:c r="D77" s="205"/>
      <x:c r="E77" s="205"/>
      <x:c r="F77" s="205"/>
      <x:c r="G77" s="205"/>
      <x:c r="H77" s="205"/>
      <x:c r="I77" s="205"/>
      <x:c r="J77" s="205"/>
      <x:c r="K77" s="205"/>
    </x:row>
    <x:row r="78" ht="23" customHeight="1">
      <x:c r="C78" s="205" t="str">
        <x:v>Finite old-asset terminal tax benefits have an upper-bound value effect below $0.01 per benchmark claim.</x:v>
      </x:c>
      <x:c r="D78" s="205"/>
      <x:c r="E78" s="205"/>
      <x:c r="F78" s="205"/>
      <x:c r="G78" s="205"/>
      <x:c r="H78" s="205"/>
      <x:c r="I78" s="205"/>
      <x:c r="J78" s="205"/>
      <x:c r="K78" s="205"/>
    </x:row>
    <x:row r="79" ht="23" customHeight="1">
      <x:c r="C79" s="205"/>
      <x:c r="D79" s="205"/>
      <x:c r="E79" s="205"/>
      <x:c r="F79" s="205"/>
      <x:c r="G79" s="205"/>
      <x:c r="H79" s="205"/>
      <x:c r="I79" s="205"/>
      <x:c r="J79" s="205"/>
      <x:c r="K79" s="205"/>
    </x:row>
  </x:sheetData>
  <x:pageMargins left="0.7" right="0.7" top="0.75" bottom="0.75" header="0.3" footer="0.3"/>
</x:worksheet>
</file>